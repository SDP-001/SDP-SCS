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Departments" sheetId="2" state="visible" r:id="rId4"/>
    <sheet name="Notes" sheetId="3" state="visible" r:id="rId5"/>
  </sheets>
  <definedNames>
    <definedName function="false" hidden="true" localSheetId="0" name="_xlnm._FilterDatabase" vbProcedure="false">Students!$A$1:$M$61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<sst xmlns="http://schemas.openxmlformats.org/spreadsheetml/2006/main" count="623" uniqueCount="362">
  <si>
    <t xml:space="preserve">student_id</t>
  </si>
  <si>
    <t xml:space="preserve">profile_id</t>
  </si>
  <si>
    <t xml:space="preserve">register_number</t>
  </si>
  <si>
    <t xml:space="preserve">full_name</t>
  </si>
  <si>
    <t xml:space="preserve">email</t>
  </si>
  <si>
    <t xml:space="preserve">department_code</t>
  </si>
  <si>
    <t xml:space="preserve">department_name</t>
  </si>
  <si>
    <t xml:space="preserve">degree_type</t>
  </si>
  <si>
    <t xml:space="preserve">program</t>
  </si>
  <si>
    <t xml:space="preserve">academic_year</t>
  </si>
  <si>
    <t xml:space="preserve">admission_year</t>
  </si>
  <si>
    <t xml:space="preserve">is_active</t>
  </si>
  <si>
    <t xml:space="preserve">credit_points</t>
  </si>
  <si>
    <t xml:space="preserve">bfff0937-1f72-5cc8-9b67-2154ff97a73e</t>
  </si>
  <si>
    <t xml:space="preserve">1059f8a9-b931-5ee8-8470-9ee8e23305db</t>
  </si>
  <si>
    <t xml:space="preserve">NEC26CS001</t>
  </si>
  <si>
    <t xml:space="preserve">Janani Subramanian</t>
  </si>
  <si>
    <t xml:space="preserve">janani.subramanian@nec.edu.in</t>
  </si>
  <si>
    <t xml:space="preserve">CSE</t>
  </si>
  <si>
    <t xml:space="preserve">Computer Science and Engineering</t>
  </si>
  <si>
    <t xml:space="preserve">UG</t>
  </si>
  <si>
    <t xml:space="preserve">B.E.</t>
  </si>
  <si>
    <t xml:space="preserve">0b9ef2c0-7634-5012-b5b6-a66a357de25f</t>
  </si>
  <si>
    <t xml:space="preserve">21941459-f7dc-5aec-88ab-7d50bd391efc</t>
  </si>
  <si>
    <t xml:space="preserve">NEC26CS002</t>
  </si>
  <si>
    <t xml:space="preserve">Pooja Balaji</t>
  </si>
  <si>
    <t xml:space="preserve">pooja.balaji@nec.edu.in</t>
  </si>
  <si>
    <t xml:space="preserve">e4f73750-6073-5662-92ab-c37d712b25fe</t>
  </si>
  <si>
    <t xml:space="preserve">8ba6e064-e997-5f9c-8ee9-c24a4c752754</t>
  </si>
  <si>
    <t xml:space="preserve">NEC26CS003</t>
  </si>
  <si>
    <t xml:space="preserve">Selvam Krishnan</t>
  </si>
  <si>
    <t xml:space="preserve">selvam.krishnan@nec.edu.in</t>
  </si>
  <si>
    <t xml:space="preserve">7df21a5e-03ac-500a-a78c-d904f818832d</t>
  </si>
  <si>
    <t xml:space="preserve">520e74ce-b2cd-596d-a7ae-89a1bbb520c1</t>
  </si>
  <si>
    <t xml:space="preserve">NEC25CS001</t>
  </si>
  <si>
    <t xml:space="preserve">Deepak Muthusamy</t>
  </si>
  <si>
    <t xml:space="preserve">deepak.muthusamy@nec.edu.in</t>
  </si>
  <si>
    <t xml:space="preserve">53fb18ed-fac0-51e7-8ad9-7baac2b45aa1</t>
  </si>
  <si>
    <t xml:space="preserve">baeb2fa4-43d5-5d52-b0b5-e03a09daa5cb</t>
  </si>
  <si>
    <t xml:space="preserve">NEC25CS002</t>
  </si>
  <si>
    <t xml:space="preserve">Anjali Annamalai</t>
  </si>
  <si>
    <t xml:space="preserve">anjali.annamalai@nec.edu.in</t>
  </si>
  <si>
    <t xml:space="preserve">a420ed9f-07ae-5dee-b107-60a095f6f8ac</t>
  </si>
  <si>
    <t xml:space="preserve">de9cbf4f-1a21-5679-8cb6-787990671b7a</t>
  </si>
  <si>
    <t xml:space="preserve">NEC25CS003</t>
  </si>
  <si>
    <t xml:space="preserve">Arun Thangaraj</t>
  </si>
  <si>
    <t xml:space="preserve">arun.thangaraj@nec.edu.in</t>
  </si>
  <si>
    <t xml:space="preserve">5d0a25cd-c9af-53d4-8a43-4474e0ffedac</t>
  </si>
  <si>
    <t xml:space="preserve">9d67af51-91af-5e4e-88e0-306573349acb</t>
  </si>
  <si>
    <t xml:space="preserve">NEC24CS001</t>
  </si>
  <si>
    <t xml:space="preserve">Abinaya Sundaram</t>
  </si>
  <si>
    <t xml:space="preserve">abinaya.sundaram@nec.edu.in</t>
  </si>
  <si>
    <t xml:space="preserve">01026d60-06b3-5d21-8b3a-f86ee4ad85f4</t>
  </si>
  <si>
    <t xml:space="preserve">0b33a7d7-f80d-55d3-81bf-2af24474a9c9</t>
  </si>
  <si>
    <t xml:space="preserve">NEC24CS002</t>
  </si>
  <si>
    <t xml:space="preserve">Sathish Muthusamy</t>
  </si>
  <si>
    <t xml:space="preserve">sathish.muthusamy@nec.edu.in</t>
  </si>
  <si>
    <t xml:space="preserve">26aaf967-0ec3-5cc6-b958-231da201e75a</t>
  </si>
  <si>
    <t xml:space="preserve">89d2bd09-7c9e-5270-9cf3-ce8832b70330</t>
  </si>
  <si>
    <t xml:space="preserve">NEC24CS003</t>
  </si>
  <si>
    <t xml:space="preserve">Yuvaraj Govindan</t>
  </si>
  <si>
    <t xml:space="preserve">yuvaraj.govindan@nec.edu.in</t>
  </si>
  <si>
    <t xml:space="preserve">564e884c-7616-54e3-925e-8d16471bae0e</t>
  </si>
  <si>
    <t xml:space="preserve">5e9e4f17-cd4a-5748-9e5b-0d9ae0374895</t>
  </si>
  <si>
    <t xml:space="preserve">NEC23CS001</t>
  </si>
  <si>
    <t xml:space="preserve">Rahul Venkatesh</t>
  </si>
  <si>
    <t xml:space="preserve">rahul.venkatesh@nec.edu.in</t>
  </si>
  <si>
    <t xml:space="preserve">02a28bbe-b82d-5c61-ae2f-c4cb3f63b904</t>
  </si>
  <si>
    <t xml:space="preserve">5af41301-def1-5d91-90af-c6bce452cd86</t>
  </si>
  <si>
    <t xml:space="preserve">NEC23CS002</t>
  </si>
  <si>
    <t xml:space="preserve">Vignesh Periyasamy</t>
  </si>
  <si>
    <t xml:space="preserve">vignesh.periyasamy@nec.edu.in</t>
  </si>
  <si>
    <t xml:space="preserve">84804b90-08e8-5cf3-b6cd-f0e0a6c0694f</t>
  </si>
  <si>
    <t xml:space="preserve">8b33586c-4f5d-557e-99e8-99d4ad9df3c2</t>
  </si>
  <si>
    <t xml:space="preserve">NEC23CS003</t>
  </si>
  <si>
    <t xml:space="preserve">Pranav Thangaraj</t>
  </si>
  <si>
    <t xml:space="preserve">pranav.thangaraj@nec.edu.in</t>
  </si>
  <si>
    <t xml:space="preserve">f5d5923d-a3ab-5be3-a50a-cc761c32e608</t>
  </si>
  <si>
    <t xml:space="preserve">b298133f-b835-5f34-a43d-2a466bddd309</t>
  </si>
  <si>
    <t xml:space="preserve">NEC26IT001</t>
  </si>
  <si>
    <t xml:space="preserve">Mohan Balaji</t>
  </si>
  <si>
    <t xml:space="preserve">mohan.balaji@nec.edu.in</t>
  </si>
  <si>
    <t xml:space="preserve">IT</t>
  </si>
  <si>
    <t xml:space="preserve">Information Technology</t>
  </si>
  <si>
    <t xml:space="preserve">B.Tech</t>
  </si>
  <si>
    <t xml:space="preserve">dc613b19-5aea-5809-8517-5eaf420e7868</t>
  </si>
  <si>
    <t xml:space="preserve">64fbb040-1fab-52aa-ba51-00b3da38b0db</t>
  </si>
  <si>
    <t xml:space="preserve">NEC26IT002</t>
  </si>
  <si>
    <t xml:space="preserve">Gokul Arumugam</t>
  </si>
  <si>
    <t xml:space="preserve">gokul.arumugam@nec.edu.in</t>
  </si>
  <si>
    <t xml:space="preserve">480dac4a-30e1-59ae-a7b7-710064cd8f2b</t>
  </si>
  <si>
    <t xml:space="preserve">fe2f7885-e897-5af8-aaf3-990fe991b960</t>
  </si>
  <si>
    <t xml:space="preserve">NEC25IT001</t>
  </si>
  <si>
    <t xml:space="preserve">Lakshmi Krishnan</t>
  </si>
  <si>
    <t xml:space="preserve">lakshmi.krishnan@nec.edu.in</t>
  </si>
  <si>
    <t xml:space="preserve">cb756dc5-6eac-500a-bd82-8b2c5f8c6115</t>
  </si>
  <si>
    <t xml:space="preserve">bcad3cf7-13e8-56af-a872-39638964549a</t>
  </si>
  <si>
    <t xml:space="preserve">NEC25IT002</t>
  </si>
  <si>
    <t xml:space="preserve">Kavin Thangaraj</t>
  </si>
  <si>
    <t xml:space="preserve">kavin.thangaraj@nec.edu.in</t>
  </si>
  <si>
    <t xml:space="preserve">e2286a33-d944-552d-af00-429a8d7fa53f</t>
  </si>
  <si>
    <t xml:space="preserve">b920ca61-8c88-5aec-a85d-f0c37fcf8a1a</t>
  </si>
  <si>
    <t xml:space="preserve">NEC24IT001</t>
  </si>
  <si>
    <t xml:space="preserve">Mythili Chandran</t>
  </si>
  <si>
    <t xml:space="preserve">mythili.chandran@nec.edu.in</t>
  </si>
  <si>
    <t xml:space="preserve">5af22c77-ee82-562f-9792-74847a52cf6d</t>
  </si>
  <si>
    <t xml:space="preserve">2e11a7da-fefe-5264-9522-1b7c07cb3f5a</t>
  </si>
  <si>
    <t xml:space="preserve">NEC24IT002</t>
  </si>
  <si>
    <t xml:space="preserve">Keerthana Venkatesh</t>
  </si>
  <si>
    <t xml:space="preserve">keerthana.venkatesh@nec.edu.in</t>
  </si>
  <si>
    <t xml:space="preserve">af0e3432-9375-5052-9a08-80eafc1c2b13</t>
  </si>
  <si>
    <t xml:space="preserve">7ab361ba-797f-5f8f-be3b-7594ce545328</t>
  </si>
  <si>
    <t xml:space="preserve">NEC23IT001</t>
  </si>
  <si>
    <t xml:space="preserve">Naveen Sekar</t>
  </si>
  <si>
    <t xml:space="preserve">naveen.sekar@nec.edu.in</t>
  </si>
  <si>
    <t xml:space="preserve">9c4e722a-6bed-5aad-9f6f-bfb66fdd0ad9</t>
  </si>
  <si>
    <t xml:space="preserve">5baf24f6-0c39-5f4f-be04-8a836129bb95</t>
  </si>
  <si>
    <t xml:space="preserve">NEC23IT002</t>
  </si>
  <si>
    <t xml:space="preserve">Manoj Sundaram</t>
  </si>
  <si>
    <t xml:space="preserve">manoj.sundaram@nec.edu.in</t>
  </si>
  <si>
    <t xml:space="preserve">fdf7b5c1-b0d6-5654-b63c-800c4d42c4dc</t>
  </si>
  <si>
    <t xml:space="preserve">d20af355-ba06-59f0-ab9f-88bb4c413795</t>
  </si>
  <si>
    <t xml:space="preserve">NEC26EC001</t>
  </si>
  <si>
    <t xml:space="preserve">Harini Natarajan</t>
  </si>
  <si>
    <t xml:space="preserve">harini.natarajan@nec.edu.in</t>
  </si>
  <si>
    <t xml:space="preserve">ECE</t>
  </si>
  <si>
    <t xml:space="preserve">Electronics and Communication Engineering</t>
  </si>
  <si>
    <t xml:space="preserve">3c258a15-9c34-5aad-8a0a-898673477f3f</t>
  </si>
  <si>
    <t xml:space="preserve">f3094b46-fe94-57ab-b24c-fc9bce4332ff</t>
  </si>
  <si>
    <t xml:space="preserve">NEC26EC002</t>
  </si>
  <si>
    <t xml:space="preserve">Nandhini Palanisamy</t>
  </si>
  <si>
    <t xml:space="preserve">nandhini.palanisamy@nec.edu.in</t>
  </si>
  <si>
    <t xml:space="preserve">547cb137-9a86-58f8-ae80-64ec99c12c21</t>
  </si>
  <si>
    <t xml:space="preserve">3de7a148-9e7a-542e-a68d-b0c14201f410</t>
  </si>
  <si>
    <t xml:space="preserve">NEC25EC001</t>
  </si>
  <si>
    <t xml:space="preserve">Akash Sekar</t>
  </si>
  <si>
    <t xml:space="preserve">akash.sekar@nec.edu.in</t>
  </si>
  <si>
    <t xml:space="preserve">61bcc309-2354-50fc-8c62-ae2ee4731b2a</t>
  </si>
  <si>
    <t xml:space="preserve">8b981578-4373-5f8a-a46a-2adb255a6a82</t>
  </si>
  <si>
    <t xml:space="preserve">NEC25EC002</t>
  </si>
  <si>
    <t xml:space="preserve">Ramya Venkatesh</t>
  </si>
  <si>
    <t xml:space="preserve">ramya.venkatesh@nec.edu.in</t>
  </si>
  <si>
    <t xml:space="preserve">30761d11-c772-5ff5-a0aa-9dae123b6564</t>
  </si>
  <si>
    <t xml:space="preserve">9137ae2a-f9ee-5c91-b7fd-5aaf282f15ad</t>
  </si>
  <si>
    <t xml:space="preserve">NEC24EC001</t>
  </si>
  <si>
    <t xml:space="preserve">Tharun Thangaraj</t>
  </si>
  <si>
    <t xml:space="preserve">tharun.thangaraj@nec.edu.in</t>
  </si>
  <si>
    <t xml:space="preserve">8a954d2d-4654-5141-8200-710af5c3d83a</t>
  </si>
  <si>
    <t xml:space="preserve">a5c22cf5-4416-515b-bd49-17f19f75203d</t>
  </si>
  <si>
    <t xml:space="preserve">NEC24EC002</t>
  </si>
  <si>
    <t xml:space="preserve">Nithya Rajan</t>
  </si>
  <si>
    <t xml:space="preserve">nithya.rajan@nec.edu.in</t>
  </si>
  <si>
    <t xml:space="preserve">09d0c1ca-bf6e-59ee-863c-3357be2aa69c</t>
  </si>
  <si>
    <t xml:space="preserve">8cc7aa55-e93b-5bea-92ca-85c6a03292e5</t>
  </si>
  <si>
    <t xml:space="preserve">NEC23EC001</t>
  </si>
  <si>
    <t xml:space="preserve">Karthik Sundaram</t>
  </si>
  <si>
    <t xml:space="preserve">karthik.sundaram@nec.edu.in</t>
  </si>
  <si>
    <t xml:space="preserve">ed85fd6d-0361-58fe-b357-1fde8bc4b94c</t>
  </si>
  <si>
    <t xml:space="preserve">02ce55e6-5cfc-5de3-a4c8-b9cf9c030394</t>
  </si>
  <si>
    <t xml:space="preserve">NEC23EC002</t>
  </si>
  <si>
    <t xml:space="preserve">Dinesh Sekar</t>
  </si>
  <si>
    <t xml:space="preserve">dinesh.sekar@nec.edu.in</t>
  </si>
  <si>
    <t xml:space="preserve">803a7296-246a-5a84-9416-01d323f9f178</t>
  </si>
  <si>
    <t xml:space="preserve">63e20a6a-924c-55ef-9047-cd9eb764cadd</t>
  </si>
  <si>
    <t xml:space="preserve">NEC26EE001</t>
  </si>
  <si>
    <t xml:space="preserve">Harish Karthikeyan</t>
  </si>
  <si>
    <t xml:space="preserve">harish.karthikeyan@nec.edu.in</t>
  </si>
  <si>
    <t xml:space="preserve">EEE</t>
  </si>
  <si>
    <t xml:space="preserve">Electrical and Electronics Engineering</t>
  </si>
  <si>
    <t xml:space="preserve">48951a87-12aa-5b23-9440-3d35e77dc610</t>
  </si>
  <si>
    <t xml:space="preserve">bf725324-c608-520b-a7a0-a0c057f4761e</t>
  </si>
  <si>
    <t xml:space="preserve">NEC26EE002</t>
  </si>
  <si>
    <t xml:space="preserve">Vimal Annamalai</t>
  </si>
  <si>
    <t xml:space="preserve">vimal.annamalai@nec.edu.in</t>
  </si>
  <si>
    <t xml:space="preserve">68703bf7-4600-5c4b-b3b8-8060859d3e53</t>
  </si>
  <si>
    <t xml:space="preserve">664ef875-31a2-5f5d-ac0e-6ca807d36554</t>
  </si>
  <si>
    <t xml:space="preserve">NEC25EE001</t>
  </si>
  <si>
    <t xml:space="preserve">Divya Muthusamy</t>
  </si>
  <si>
    <t xml:space="preserve">divya.muthusamy@nec.edu.in</t>
  </si>
  <si>
    <t xml:space="preserve">963983f7-96d3-59c9-8cfa-30ee547b50bf</t>
  </si>
  <si>
    <t xml:space="preserve">317a605a-d838-593f-9de4-90e93feeefe0</t>
  </si>
  <si>
    <t xml:space="preserve">NEC25EE002</t>
  </si>
  <si>
    <t xml:space="preserve">Gayathri Muthusamy</t>
  </si>
  <si>
    <t xml:space="preserve">gayathri.muthusamy@nec.edu.in</t>
  </si>
  <si>
    <t xml:space="preserve">618cc5b4-493f-5a12-a88f-78fb412abf80</t>
  </si>
  <si>
    <t xml:space="preserve">5bc8299f-c602-5ca9-b471-7cd0383894f9</t>
  </si>
  <si>
    <t xml:space="preserve">NEC24EE001</t>
  </si>
  <si>
    <t xml:space="preserve">Hemalatha Raman</t>
  </si>
  <si>
    <t xml:space="preserve">hemalatha.raman@nec.edu.in</t>
  </si>
  <si>
    <t xml:space="preserve">ac81107f-0a20-53e1-aa06-5d1493e1222e</t>
  </si>
  <si>
    <t xml:space="preserve">029c6959-34a8-5810-88f4-54eae559cca8</t>
  </si>
  <si>
    <t xml:space="preserve">NEC23EE001</t>
  </si>
  <si>
    <t xml:space="preserve">Indhumathi Venkatesh</t>
  </si>
  <si>
    <t xml:space="preserve">indhumathi.venkatesh@nec.edu.in</t>
  </si>
  <si>
    <t xml:space="preserve">cdef6d8c-bcaf-593a-8d0d-ec2d52a0d0eb</t>
  </si>
  <si>
    <t xml:space="preserve">13a11530-4d03-595b-be82-8f380a353b56</t>
  </si>
  <si>
    <t xml:space="preserve">NEC26ME001</t>
  </si>
  <si>
    <t xml:space="preserve">Sabari Balaji</t>
  </si>
  <si>
    <t xml:space="preserve">sabari.balaji@nec.edu.in</t>
  </si>
  <si>
    <t xml:space="preserve">MECH</t>
  </si>
  <si>
    <t xml:space="preserve">Mechanical Engineering</t>
  </si>
  <si>
    <t xml:space="preserve">1598bf33-a22c-5d1a-9feb-4029c103f928</t>
  </si>
  <si>
    <t xml:space="preserve">8a31b982-487a-5041-b773-87d9a2c13234</t>
  </si>
  <si>
    <t xml:space="preserve">NEC26ME002</t>
  </si>
  <si>
    <t xml:space="preserve">Ashwin Subramanian</t>
  </si>
  <si>
    <t xml:space="preserve">ashwin.subramanian@nec.edu.in</t>
  </si>
  <si>
    <t xml:space="preserve">8c6f2be9-938d-5d84-99f5-1d176fe27a05</t>
  </si>
  <si>
    <t xml:space="preserve">0efdc7da-f4b4-5ae0-be49-b8968317bb88</t>
  </si>
  <si>
    <t xml:space="preserve">NEC25ME001</t>
  </si>
  <si>
    <t xml:space="preserve">Yazhini Govindan</t>
  </si>
  <si>
    <t xml:space="preserve">yazhini.govindan@nec.edu.in</t>
  </si>
  <si>
    <t xml:space="preserve">a2def7e6-b3e1-5250-9c59-05ee344f8bc3</t>
  </si>
  <si>
    <t xml:space="preserve">ed9c6f1b-dcfb-5683-ba88-ae6ba05875f3</t>
  </si>
  <si>
    <t xml:space="preserve">NEC25ME002</t>
  </si>
  <si>
    <t xml:space="preserve">Aravind Thangaraj</t>
  </si>
  <si>
    <t xml:space="preserve">aravind.thangaraj@nec.edu.in</t>
  </si>
  <si>
    <t xml:space="preserve">32bef011-dee0-5f17-bacc-e488633cb9b8</t>
  </si>
  <si>
    <t xml:space="preserve">eff91dc9-e462-5350-bca6-e9229ca43242</t>
  </si>
  <si>
    <t xml:space="preserve">NEC24ME001</t>
  </si>
  <si>
    <t xml:space="preserve">Rohini Natarajan</t>
  </si>
  <si>
    <t xml:space="preserve">rohini.natarajan@nec.edu.in</t>
  </si>
  <si>
    <t xml:space="preserve">afb89a37-6090-5e85-9560-fedab54db0a2</t>
  </si>
  <si>
    <t xml:space="preserve">a1d1cf6c-8734-53f3-b24c-ee645b948283</t>
  </si>
  <si>
    <t xml:space="preserve">NEC23ME001</t>
  </si>
  <si>
    <t xml:space="preserve">Kishore Arumugam</t>
  </si>
  <si>
    <t xml:space="preserve">kishore.arumugam@nec.edu.in</t>
  </si>
  <si>
    <t xml:space="preserve">4622c5c3-fc7c-5683-b3a1-591bbdf050fc</t>
  </si>
  <si>
    <t xml:space="preserve">d731f82b-52b3-576b-ba37-ae24b9b6d4ef</t>
  </si>
  <si>
    <t xml:space="preserve">NEC26CE001</t>
  </si>
  <si>
    <t xml:space="preserve">Logesh Venkatesh</t>
  </si>
  <si>
    <t xml:space="preserve">logesh.venkatesh@nec.edu.in</t>
  </si>
  <si>
    <t xml:space="preserve">CIVIL</t>
  </si>
  <si>
    <t xml:space="preserve">Civil Engineering</t>
  </si>
  <si>
    <t xml:space="preserve">0d9caf43-be4f-5e22-a2cd-aba1554fc1b4</t>
  </si>
  <si>
    <t xml:space="preserve">b77e6b3b-6da0-5b4e-98fa-0c4e6168122b</t>
  </si>
  <si>
    <t xml:space="preserve">NEC25CE001</t>
  </si>
  <si>
    <t xml:space="preserve">Aadhavan Selvaraj</t>
  </si>
  <si>
    <t xml:space="preserve">aadhavan.selvaraj@nec.edu.in</t>
  </si>
  <si>
    <t xml:space="preserve">43c8d371-1589-586a-8fa9-6615fbbfc225</t>
  </si>
  <si>
    <t xml:space="preserve">04f93db0-9218-56d8-a275-2e15d20d0871</t>
  </si>
  <si>
    <t xml:space="preserve">NEC24CE001</t>
  </si>
  <si>
    <t xml:space="preserve">Kaviya Velusamy</t>
  </si>
  <si>
    <t xml:space="preserve">kaviya.velusamy@nec.edu.in</t>
  </si>
  <si>
    <t xml:space="preserve">59c0e9dc-250a-5b31-bc93-2657ba421fd0</t>
  </si>
  <si>
    <t xml:space="preserve">56f74ec6-a5cb-5ce3-9df2-356b3b2e1bb1</t>
  </si>
  <si>
    <t xml:space="preserve">NEC23CE001</t>
  </si>
  <si>
    <t xml:space="preserve">Priya Murugan</t>
  </si>
  <si>
    <t xml:space="preserve">priya.murugan@nec.edu.in</t>
  </si>
  <si>
    <t xml:space="preserve">043d330d-be8e-5100-83e5-f9a6b5d7f3bb</t>
  </si>
  <si>
    <t xml:space="preserve">c0b931ce-04e7-5ee8-9995-62976fc548ab</t>
  </si>
  <si>
    <t xml:space="preserve">NEC26AD001</t>
  </si>
  <si>
    <t xml:space="preserve">Suriya Venkatesh</t>
  </si>
  <si>
    <t xml:space="preserve">suriya.venkatesh@nec.edu.in</t>
  </si>
  <si>
    <t xml:space="preserve">AIDS</t>
  </si>
  <si>
    <t xml:space="preserve">Artificial Intelligence and Data Science</t>
  </si>
  <si>
    <t xml:space="preserve">f584e5a5-40ca-5111-a2ba-c8864051bd07</t>
  </si>
  <si>
    <t xml:space="preserve">19a78f29-1f29-5da1-9d5b-cf7a7bd87b85</t>
  </si>
  <si>
    <t xml:space="preserve">NEC26AD002</t>
  </si>
  <si>
    <t xml:space="preserve">Subash Arumugam</t>
  </si>
  <si>
    <t xml:space="preserve">subash.arumugam@nec.edu.in</t>
  </si>
  <si>
    <t xml:space="preserve">95e9ad05-3d9b-5043-8ed4-5f8c0e1ed4ea</t>
  </si>
  <si>
    <t xml:space="preserve">8b2dbcc5-8b23-59dc-9276-6cb5a42d4fe7</t>
  </si>
  <si>
    <t xml:space="preserve">NEC25AD001</t>
  </si>
  <si>
    <t xml:space="preserve">Sanjay Raman</t>
  </si>
  <si>
    <t xml:space="preserve">sanjay.raman@nec.edu.in</t>
  </si>
  <si>
    <t xml:space="preserve">36e91b1b-24c0-5716-b447-5b33e0f65054</t>
  </si>
  <si>
    <t xml:space="preserve">338d940f-3222-52d8-8b0f-c9a1579ce8ff</t>
  </si>
  <si>
    <t xml:space="preserve">NEC25AD002</t>
  </si>
  <si>
    <t xml:space="preserve">Pavithra Murugan</t>
  </si>
  <si>
    <t xml:space="preserve">pavithra.murugan@nec.edu.in</t>
  </si>
  <si>
    <t xml:space="preserve">c60a4f34-f414-5855-a7db-a3a258ce1e03</t>
  </si>
  <si>
    <t xml:space="preserve">4c2de6e5-6c23-53c8-9e6b-3b5300c6dd50</t>
  </si>
  <si>
    <t xml:space="preserve">NEC24AD001</t>
  </si>
  <si>
    <t xml:space="preserve">Monisha Palanisamy</t>
  </si>
  <si>
    <t xml:space="preserve">monisha.palanisamy@nec.edu.in</t>
  </si>
  <si>
    <t xml:space="preserve">742c3116-6c80-53e1-a9af-ad51c50d09ec</t>
  </si>
  <si>
    <t xml:space="preserve">f0baa55e-3a2a-5669-a688-cac433d1b7e8</t>
  </si>
  <si>
    <t xml:space="preserve">NEC23AD001</t>
  </si>
  <si>
    <t xml:space="preserve">Kowsalya Balaji</t>
  </si>
  <si>
    <t xml:space="preserve">kowsalya.balaji@nec.edu.in</t>
  </si>
  <si>
    <t xml:space="preserve">9b0846e6-8b10-5bb3-a741-8ebe5154c5fc</t>
  </si>
  <si>
    <t xml:space="preserve">597031ec-1d00-598b-8d03-5a620d929af7</t>
  </si>
  <si>
    <t xml:space="preserve">NEC26PS001</t>
  </si>
  <si>
    <t xml:space="preserve">Sowmiya Arumugam</t>
  </si>
  <si>
    <t xml:space="preserve">sowmiya.arumugam@nec.edu.in</t>
  </si>
  <si>
    <t xml:space="preserve">ME-CSE</t>
  </si>
  <si>
    <t xml:space="preserve">M.E. Computer Science and Engineering</t>
  </si>
  <si>
    <t xml:space="preserve">PG</t>
  </si>
  <si>
    <t xml:space="preserve">M.E.</t>
  </si>
  <si>
    <t xml:space="preserve">a253b686-85ef-526e-b356-464a74577f29</t>
  </si>
  <si>
    <t xml:space="preserve">ca833645-6e0e-5cc2-8b13-93d8b5b280a0</t>
  </si>
  <si>
    <t xml:space="preserve">NEC26PS002</t>
  </si>
  <si>
    <t xml:space="preserve">Swetha Karthikeyan</t>
  </si>
  <si>
    <t xml:space="preserve">swetha.karthikeyan@nec.edu.in</t>
  </si>
  <si>
    <t xml:space="preserve">2d1fae84-fefd-5be5-b372-aed4efe8cbf1</t>
  </si>
  <si>
    <t xml:space="preserve">34a0d64a-b229-531b-a0d8-516f277a5e4e</t>
  </si>
  <si>
    <t xml:space="preserve">NEC25PS001</t>
  </si>
  <si>
    <t xml:space="preserve">Thamizh Ramasamy</t>
  </si>
  <si>
    <t xml:space="preserve">thamizh.ramasamy@nec.edu.in</t>
  </si>
  <si>
    <t xml:space="preserve">100a466f-6c31-5ae3-b132-18137013d3a1</t>
  </si>
  <si>
    <t xml:space="preserve">c65e3096-f933-582a-988d-e2f45e0ab10a</t>
  </si>
  <si>
    <t xml:space="preserve">NEC26MB001</t>
  </si>
  <si>
    <t xml:space="preserve">Jeeva Chandran</t>
  </si>
  <si>
    <t xml:space="preserve">jeeva.chandran@nec.edu.in</t>
  </si>
  <si>
    <t xml:space="preserve">MBA</t>
  </si>
  <si>
    <t xml:space="preserve">Master of Business Administration</t>
  </si>
  <si>
    <t xml:space="preserve">4f991c61-af61-5e5c-8814-ca888c10cf58</t>
  </si>
  <si>
    <t xml:space="preserve">76e4cf2d-a2c1-5c4c-b726-b860517d967c</t>
  </si>
  <si>
    <t xml:space="preserve">NEC26MB002</t>
  </si>
  <si>
    <t xml:space="preserve">Vishnu Ramasamy</t>
  </si>
  <si>
    <t xml:space="preserve">vishnu.ramasamy@nec.edu.in</t>
  </si>
  <si>
    <t xml:space="preserve">c67be234-1b84-5473-9f79-2c54ac41c165</t>
  </si>
  <si>
    <t xml:space="preserve">7debde5b-92eb-54d2-b488-5a2bb2aed3cb</t>
  </si>
  <si>
    <t xml:space="preserve">NEC25MB001</t>
  </si>
  <si>
    <t xml:space="preserve">Bharathi Karthikeyan</t>
  </si>
  <si>
    <t xml:space="preserve">bharathi.karthikeyan@nec.edu.in</t>
  </si>
  <si>
    <t xml:space="preserve">34f4c4e0-a4f7-5b1a-a8df-f64da0ed56d2</t>
  </si>
  <si>
    <t xml:space="preserve">067bd298-d52d-5e7f-960d-b2ffb1fd6921</t>
  </si>
  <si>
    <t xml:space="preserve">NEC25MB002</t>
  </si>
  <si>
    <t xml:space="preserve">Varshini Govindan</t>
  </si>
  <si>
    <t xml:space="preserve">varshini.govindan@nec.edu.in</t>
  </si>
  <si>
    <t xml:space="preserve">b6a684dd-f161-53bd-bebc-20d483d95f84</t>
  </si>
  <si>
    <t xml:space="preserve">ef7e4e37-dd49-5c01-b66e-d15b3575a26a</t>
  </si>
  <si>
    <t xml:space="preserve">NEC26MA001</t>
  </si>
  <si>
    <t xml:space="preserve">Saranya Krishnan</t>
  </si>
  <si>
    <t xml:space="preserve">saranya.krishnan@nec.edu.in</t>
  </si>
  <si>
    <t xml:space="preserve">MCA</t>
  </si>
  <si>
    <t xml:space="preserve">Master of Computer Applications</t>
  </si>
  <si>
    <t xml:space="preserve">47dc856b-9629-5ae9-95be-3c6a627fefa8</t>
  </si>
  <si>
    <t xml:space="preserve">4fa3b741-30bf-5f1e-99bc-2d0106e9c192</t>
  </si>
  <si>
    <t xml:space="preserve">NEC26MA002</t>
  </si>
  <si>
    <t xml:space="preserve">Dhanush Thangaraj</t>
  </si>
  <si>
    <t xml:space="preserve">dhanush.thangaraj@nec.edu.in</t>
  </si>
  <si>
    <t xml:space="preserve">d86c9f3d-99f8-5b90-9690-7236c9871ad8</t>
  </si>
  <si>
    <t xml:space="preserve">52818681-3e67-5f0b-b487-faf6860acc08</t>
  </si>
  <si>
    <t xml:space="preserve">NEC25MA001</t>
  </si>
  <si>
    <t xml:space="preserve">Madhan Ganesan</t>
  </si>
  <si>
    <t xml:space="preserve">madhan.ganesan@nec.edu.in</t>
  </si>
  <si>
    <t xml:space="preserve">reg_code</t>
  </si>
  <si>
    <t xml:space="preserve">student_count</t>
  </si>
  <si>
    <t xml:space="preserve">avg_credit_points</t>
  </si>
  <si>
    <t xml:space="preserve">CS</t>
  </si>
  <si>
    <t xml:space="preserve">EC</t>
  </si>
  <si>
    <t xml:space="preserve">EE</t>
  </si>
  <si>
    <t xml:space="preserve">ME</t>
  </si>
  <si>
    <t xml:space="preserve">CE</t>
  </si>
  <si>
    <t xml:space="preserve">AD</t>
  </si>
  <si>
    <t xml:space="preserve">PS</t>
  </si>
  <si>
    <t xml:space="preserve">MB</t>
  </si>
  <si>
    <t xml:space="preserve">MA</t>
  </si>
  <si>
    <t xml:space="preserve">Total</t>
  </si>
  <si>
    <t xml:space="preserve">NEC-SCS sample student data (60 records)</t>
  </si>
  <si>
    <t xml:space="preserve">All names, emails and register numbers are fictional and for testing only.</t>
  </si>
  <si>
    <t xml:space="preserve">Columns follow the students / profiles / departments tables in the NEC-SCS schema (student_id, profile_id, register_number, academic_year, etc.).</t>
  </si>
  <si>
    <t xml:space="preserve">Register number format: NEC + 2-digit admission year + 2-letter department code + 3-digit sequence (e.g. NEC24CS001). Department codes are on the Departments sheet.</t>
  </si>
  <si>
    <t xml:space="preserve">Assumption: current academic year is 2026-27, so year 1 = admitted 2026, year 2 = 2025, year 3 = 2024, year 4 = 2023. UG has years 1-4, PG has years 1-2.</t>
  </si>
  <si>
    <t xml:space="preserve">Assumption: emails use @nec.edu.in, one of the institutional domain aliases listed in the project README.</t>
  </si>
  <si>
    <t xml:space="preserve">student_id and profile_id are deterministic UUIDs generated for this sample; replace them with real Supabase IDs on import.</t>
  </si>
  <si>
    <t xml:space="preserve">credit_points are random sample values scaled by academic year; they are not derived from certificates.</t>
  </si>
  <si>
    <t xml:space="preserve">Two students have is_active = FALSE so the inactive-account login rule can be tested.</t>
  </si>
  <si>
    <t xml:space="preserve">No passwords are included. Set them through your auth flow or seed script.</t>
  </si>
  <si>
    <t xml:space="preserve">Departments!G and H are formulas (COUNTIF / AVERAGEIF on the Students sheet) and update if you edit student rows within rows 2-61.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</si>
</sst>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3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3A8A"/>
          <bgColor rgb="FF000000"/>
        </patternFill>
      </fill>
    </dxf>
    <dxf>
      <fill>
        <patternFill patternType="solid">
          <fgColor rgb="FFF3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 t="s">
        <v>19</v>
      </c>
      <c r="H2" s="3" t="s">
        <v>20</v>
      </c>
      <c r="I2" s="3" t="s">
        <v>21</v>
      </c>
      <c r="J2" s="3" t="n">
        <v>1</v>
      </c>
      <c r="K2" s="3" t="n">
        <v>2026</v>
      </c>
      <c r="L2" s="4" t="b">
        <f aca="false">TRUE()</f>
        <v>1</v>
      </c>
      <c r="M2" s="5" t="n">
        <v>13</v>
      </c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7" t="s">
        <v>18</v>
      </c>
      <c r="G3" s="6" t="s">
        <v>19</v>
      </c>
      <c r="H3" s="7" t="s">
        <v>20</v>
      </c>
      <c r="I3" s="7" t="s">
        <v>21</v>
      </c>
      <c r="J3" s="7" t="n">
        <v>1</v>
      </c>
      <c r="K3" s="7" t="n">
        <v>2026</v>
      </c>
      <c r="L3" s="8" t="b">
        <f aca="false">TRUE()</f>
        <v>1</v>
      </c>
      <c r="M3" s="9" t="n">
        <v>18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3" t="s">
        <v>18</v>
      </c>
      <c r="G4" s="2" t="s">
        <v>19</v>
      </c>
      <c r="H4" s="3" t="s">
        <v>20</v>
      </c>
      <c r="I4" s="3" t="s">
        <v>21</v>
      </c>
      <c r="J4" s="3" t="n">
        <v>1</v>
      </c>
      <c r="K4" s="3" t="n">
        <v>2026</v>
      </c>
      <c r="L4" s="4" t="b">
        <f aca="false">TRUE()</f>
        <v>1</v>
      </c>
      <c r="M4" s="5" t="n">
        <v>1</v>
      </c>
    </row>
    <row r="5" customFormat="false" ht="15" hidden="false" customHeight="fals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7" t="s">
        <v>18</v>
      </c>
      <c r="G5" s="6" t="s">
        <v>19</v>
      </c>
      <c r="H5" s="7" t="s">
        <v>20</v>
      </c>
      <c r="I5" s="7" t="s">
        <v>21</v>
      </c>
      <c r="J5" s="7" t="n">
        <v>2</v>
      </c>
      <c r="K5" s="7" t="n">
        <v>2025</v>
      </c>
      <c r="L5" s="8" t="b">
        <f aca="false">TRUE()</f>
        <v>1</v>
      </c>
      <c r="M5" s="9" t="n">
        <v>41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3" t="s">
        <v>18</v>
      </c>
      <c r="G6" s="2" t="s">
        <v>19</v>
      </c>
      <c r="H6" s="3" t="s">
        <v>20</v>
      </c>
      <c r="I6" s="3" t="s">
        <v>21</v>
      </c>
      <c r="J6" s="3" t="n">
        <v>2</v>
      </c>
      <c r="K6" s="3" t="n">
        <v>2025</v>
      </c>
      <c r="L6" s="4" t="b">
        <f aca="false">TRUE()</f>
        <v>1</v>
      </c>
      <c r="M6" s="5" t="n">
        <v>42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7" t="s">
        <v>18</v>
      </c>
      <c r="G7" s="6" t="s">
        <v>19</v>
      </c>
      <c r="H7" s="7" t="s">
        <v>20</v>
      </c>
      <c r="I7" s="7" t="s">
        <v>21</v>
      </c>
      <c r="J7" s="7" t="n">
        <v>2</v>
      </c>
      <c r="K7" s="7" t="n">
        <v>2025</v>
      </c>
      <c r="L7" s="8" t="b">
        <f aca="false">TRUE()</f>
        <v>1</v>
      </c>
      <c r="M7" s="9" t="n">
        <v>43</v>
      </c>
    </row>
    <row r="8" customFormat="false" ht="15" hidden="false" customHeight="false" outlineLevel="0" collapsed="false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3" t="s">
        <v>18</v>
      </c>
      <c r="G8" s="2" t="s">
        <v>19</v>
      </c>
      <c r="H8" s="3" t="s">
        <v>20</v>
      </c>
      <c r="I8" s="3" t="s">
        <v>21</v>
      </c>
      <c r="J8" s="3" t="n">
        <v>3</v>
      </c>
      <c r="K8" s="3" t="n">
        <v>2024</v>
      </c>
      <c r="L8" s="4" t="b">
        <f aca="false">TRUE()</f>
        <v>1</v>
      </c>
      <c r="M8" s="5" t="n">
        <v>58</v>
      </c>
    </row>
    <row r="9" customFormat="false" ht="15" hidden="false" customHeight="false" outlineLevel="0" collapsed="false">
      <c r="A9" s="6" t="s">
        <v>52</v>
      </c>
      <c r="B9" s="6" t="s">
        <v>53</v>
      </c>
      <c r="C9" s="6" t="s">
        <v>54</v>
      </c>
      <c r="D9" s="6" t="s">
        <v>55</v>
      </c>
      <c r="E9" s="6" t="s">
        <v>56</v>
      </c>
      <c r="F9" s="7" t="s">
        <v>18</v>
      </c>
      <c r="G9" s="6" t="s">
        <v>19</v>
      </c>
      <c r="H9" s="7" t="s">
        <v>20</v>
      </c>
      <c r="I9" s="7" t="s">
        <v>21</v>
      </c>
      <c r="J9" s="7" t="n">
        <v>3</v>
      </c>
      <c r="K9" s="7" t="n">
        <v>2024</v>
      </c>
      <c r="L9" s="8" t="b">
        <f aca="false">TRUE()</f>
        <v>1</v>
      </c>
      <c r="M9" s="9" t="n">
        <v>26</v>
      </c>
    </row>
    <row r="10" customFormat="false" ht="15" hidden="false" customHeight="false" outlineLevel="0" collapsed="false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3" t="s">
        <v>18</v>
      </c>
      <c r="G10" s="2" t="s">
        <v>19</v>
      </c>
      <c r="H10" s="3" t="s">
        <v>20</v>
      </c>
      <c r="I10" s="3" t="s">
        <v>21</v>
      </c>
      <c r="J10" s="3" t="n">
        <v>3</v>
      </c>
      <c r="K10" s="3" t="n">
        <v>2024</v>
      </c>
      <c r="L10" s="4" t="b">
        <f aca="false">TRUE()</f>
        <v>1</v>
      </c>
      <c r="M10" s="5" t="n">
        <v>31</v>
      </c>
    </row>
    <row r="11" customFormat="false" ht="15" hidden="false" customHeight="false" outlineLevel="0" collapsed="false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7" t="s">
        <v>18</v>
      </c>
      <c r="G11" s="6" t="s">
        <v>19</v>
      </c>
      <c r="H11" s="7" t="s">
        <v>20</v>
      </c>
      <c r="I11" s="7" t="s">
        <v>21</v>
      </c>
      <c r="J11" s="7" t="n">
        <v>4</v>
      </c>
      <c r="K11" s="7" t="n">
        <v>2023</v>
      </c>
      <c r="L11" s="8" t="b">
        <f aca="false">TRUE()</f>
        <v>1</v>
      </c>
      <c r="M11" s="9" t="n">
        <v>94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3" t="s">
        <v>18</v>
      </c>
      <c r="G12" s="2" t="s">
        <v>19</v>
      </c>
      <c r="H12" s="3" t="s">
        <v>20</v>
      </c>
      <c r="I12" s="3" t="s">
        <v>21</v>
      </c>
      <c r="J12" s="3" t="n">
        <v>4</v>
      </c>
      <c r="K12" s="3" t="n">
        <v>2023</v>
      </c>
      <c r="L12" s="4" t="b">
        <f aca="false">TRUE()</f>
        <v>1</v>
      </c>
      <c r="M12" s="5" t="n">
        <v>54</v>
      </c>
    </row>
    <row r="13" customFormat="false" ht="15" hidden="false" customHeight="false" outlineLevel="0" collapsed="false">
      <c r="A13" s="6" t="s">
        <v>72</v>
      </c>
      <c r="B13" s="6" t="s">
        <v>73</v>
      </c>
      <c r="C13" s="6" t="s">
        <v>74</v>
      </c>
      <c r="D13" s="6" t="s">
        <v>75</v>
      </c>
      <c r="E13" s="6" t="s">
        <v>76</v>
      </c>
      <c r="F13" s="7" t="s">
        <v>18</v>
      </c>
      <c r="G13" s="6" t="s">
        <v>19</v>
      </c>
      <c r="H13" s="7" t="s">
        <v>20</v>
      </c>
      <c r="I13" s="7" t="s">
        <v>21</v>
      </c>
      <c r="J13" s="7" t="n">
        <v>4</v>
      </c>
      <c r="K13" s="7" t="n">
        <v>2023</v>
      </c>
      <c r="L13" s="8" t="b">
        <f aca="false">TRUE()</f>
        <v>1</v>
      </c>
      <c r="M13" s="9" t="n">
        <v>79</v>
      </c>
    </row>
    <row r="14" customFormat="false" ht="15" hidden="false" customHeight="false" outlineLevel="0" collapsed="false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3" t="s">
        <v>82</v>
      </c>
      <c r="G14" s="2" t="s">
        <v>83</v>
      </c>
      <c r="H14" s="3" t="s">
        <v>20</v>
      </c>
      <c r="I14" s="3" t="s">
        <v>84</v>
      </c>
      <c r="J14" s="3" t="n">
        <v>1</v>
      </c>
      <c r="K14" s="3" t="n">
        <v>2026</v>
      </c>
      <c r="L14" s="4" t="b">
        <f aca="false">TRUE()</f>
        <v>1</v>
      </c>
      <c r="M14" s="5" t="n">
        <v>15</v>
      </c>
    </row>
    <row r="15" customFormat="false" ht="15" hidden="false" customHeight="false" outlineLevel="0" collapsed="false">
      <c r="A15" s="6" t="s">
        <v>85</v>
      </c>
      <c r="B15" s="6" t="s">
        <v>86</v>
      </c>
      <c r="C15" s="6" t="s">
        <v>87</v>
      </c>
      <c r="D15" s="6" t="s">
        <v>88</v>
      </c>
      <c r="E15" s="6" t="s">
        <v>89</v>
      </c>
      <c r="F15" s="7" t="s">
        <v>82</v>
      </c>
      <c r="G15" s="6" t="s">
        <v>83</v>
      </c>
      <c r="H15" s="7" t="s">
        <v>20</v>
      </c>
      <c r="I15" s="7" t="s">
        <v>84</v>
      </c>
      <c r="J15" s="7" t="n">
        <v>1</v>
      </c>
      <c r="K15" s="7" t="n">
        <v>2026</v>
      </c>
      <c r="L15" s="8" t="b">
        <f aca="false">TRUE()</f>
        <v>1</v>
      </c>
      <c r="M15" s="9" t="n">
        <v>15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3" t="s">
        <v>82</v>
      </c>
      <c r="G16" s="2" t="s">
        <v>83</v>
      </c>
      <c r="H16" s="3" t="s">
        <v>20</v>
      </c>
      <c r="I16" s="3" t="s">
        <v>84</v>
      </c>
      <c r="J16" s="3" t="n">
        <v>2</v>
      </c>
      <c r="K16" s="3" t="n">
        <v>2025</v>
      </c>
      <c r="L16" s="4" t="b">
        <f aca="false">TRUE()</f>
        <v>1</v>
      </c>
      <c r="M16" s="5" t="n">
        <v>40</v>
      </c>
    </row>
    <row r="17" customFormat="false" ht="15" hidden="false" customHeight="false" outlineLevel="0" collapsed="false">
      <c r="A17" s="6" t="s">
        <v>95</v>
      </c>
      <c r="B17" s="6" t="s">
        <v>96</v>
      </c>
      <c r="C17" s="6" t="s">
        <v>97</v>
      </c>
      <c r="D17" s="6" t="s">
        <v>98</v>
      </c>
      <c r="E17" s="6" t="s">
        <v>99</v>
      </c>
      <c r="F17" s="7" t="s">
        <v>82</v>
      </c>
      <c r="G17" s="6" t="s">
        <v>83</v>
      </c>
      <c r="H17" s="7" t="s">
        <v>20</v>
      </c>
      <c r="I17" s="7" t="s">
        <v>84</v>
      </c>
      <c r="J17" s="7" t="n">
        <v>2</v>
      </c>
      <c r="K17" s="7" t="n">
        <v>2025</v>
      </c>
      <c r="L17" s="8" t="b">
        <f aca="false">TRUE()</f>
        <v>1</v>
      </c>
      <c r="M17" s="9" t="n">
        <v>44</v>
      </c>
    </row>
    <row r="18" customFormat="false" ht="15" hidden="false" customHeight="false" outlineLevel="0" collapsed="false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3" t="s">
        <v>82</v>
      </c>
      <c r="G18" s="2" t="s">
        <v>83</v>
      </c>
      <c r="H18" s="3" t="s">
        <v>20</v>
      </c>
      <c r="I18" s="3" t="s">
        <v>84</v>
      </c>
      <c r="J18" s="3" t="n">
        <v>3</v>
      </c>
      <c r="K18" s="3" t="n">
        <v>2024</v>
      </c>
      <c r="L18" s="4" t="b">
        <f aca="false">TRUE()</f>
        <v>1</v>
      </c>
      <c r="M18" s="5" t="n">
        <v>32</v>
      </c>
    </row>
    <row r="19" customFormat="false" ht="15" hidden="false" customHeight="false" outlineLevel="0" collapsed="false">
      <c r="A19" s="6" t="s">
        <v>105</v>
      </c>
      <c r="B19" s="6" t="s">
        <v>106</v>
      </c>
      <c r="C19" s="6" t="s">
        <v>107</v>
      </c>
      <c r="D19" s="6" t="s">
        <v>108</v>
      </c>
      <c r="E19" s="6" t="s">
        <v>109</v>
      </c>
      <c r="F19" s="7" t="s">
        <v>82</v>
      </c>
      <c r="G19" s="6" t="s">
        <v>83</v>
      </c>
      <c r="H19" s="7" t="s">
        <v>20</v>
      </c>
      <c r="I19" s="7" t="s">
        <v>84</v>
      </c>
      <c r="J19" s="7" t="n">
        <v>3</v>
      </c>
      <c r="K19" s="7" t="n">
        <v>2024</v>
      </c>
      <c r="L19" s="8" t="b">
        <f aca="false">FALSE()</f>
        <v>0</v>
      </c>
      <c r="M19" s="9" t="n">
        <v>60</v>
      </c>
    </row>
    <row r="20" customFormat="false" ht="15" hidden="false" customHeight="false" outlineLevel="0" collapsed="false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3" t="s">
        <v>82</v>
      </c>
      <c r="G20" s="2" t="s">
        <v>83</v>
      </c>
      <c r="H20" s="3" t="s">
        <v>20</v>
      </c>
      <c r="I20" s="3" t="s">
        <v>84</v>
      </c>
      <c r="J20" s="3" t="n">
        <v>4</v>
      </c>
      <c r="K20" s="3" t="n">
        <v>2023</v>
      </c>
      <c r="L20" s="4" t="b">
        <f aca="false">TRUE()</f>
        <v>1</v>
      </c>
      <c r="M20" s="5" t="n">
        <v>84</v>
      </c>
    </row>
    <row r="21" customFormat="false" ht="15" hidden="false" customHeight="false" outlineLevel="0" collapsed="false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7" t="s">
        <v>82</v>
      </c>
      <c r="G21" s="6" t="s">
        <v>83</v>
      </c>
      <c r="H21" s="7" t="s">
        <v>20</v>
      </c>
      <c r="I21" s="7" t="s">
        <v>84</v>
      </c>
      <c r="J21" s="7" t="n">
        <v>4</v>
      </c>
      <c r="K21" s="7" t="n">
        <v>2023</v>
      </c>
      <c r="L21" s="8" t="b">
        <f aca="false">TRUE()</f>
        <v>1</v>
      </c>
      <c r="M21" s="9" t="n">
        <v>82</v>
      </c>
    </row>
    <row r="22" customFormat="false" ht="15" hidden="false" customHeight="false" outlineLevel="0" collapsed="false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3" t="s">
        <v>125</v>
      </c>
      <c r="G22" s="2" t="s">
        <v>126</v>
      </c>
      <c r="H22" s="3" t="s">
        <v>20</v>
      </c>
      <c r="I22" s="3" t="s">
        <v>21</v>
      </c>
      <c r="J22" s="3" t="n">
        <v>1</v>
      </c>
      <c r="K22" s="3" t="n">
        <v>2026</v>
      </c>
      <c r="L22" s="4" t="b">
        <f aca="false">TRUE()</f>
        <v>1</v>
      </c>
      <c r="M22" s="5" t="n">
        <v>17</v>
      </c>
    </row>
    <row r="23" customFormat="false" ht="15" hidden="false" customHeight="false" outlineLevel="0" collapsed="false">
      <c r="A23" s="6" t="s">
        <v>127</v>
      </c>
      <c r="B23" s="6" t="s">
        <v>128</v>
      </c>
      <c r="C23" s="6" t="s">
        <v>129</v>
      </c>
      <c r="D23" s="6" t="s">
        <v>130</v>
      </c>
      <c r="E23" s="6" t="s">
        <v>131</v>
      </c>
      <c r="F23" s="7" t="s">
        <v>125</v>
      </c>
      <c r="G23" s="6" t="s">
        <v>126</v>
      </c>
      <c r="H23" s="7" t="s">
        <v>20</v>
      </c>
      <c r="I23" s="7" t="s">
        <v>21</v>
      </c>
      <c r="J23" s="7" t="n">
        <v>1</v>
      </c>
      <c r="K23" s="7" t="n">
        <v>2026</v>
      </c>
      <c r="L23" s="8" t="b">
        <f aca="false">TRUE()</f>
        <v>1</v>
      </c>
      <c r="M23" s="9" t="n">
        <v>9</v>
      </c>
    </row>
    <row r="24" customFormat="false" ht="15" hidden="false" customHeight="false" outlineLevel="0" collapsed="false">
      <c r="A24" s="2" t="s">
        <v>132</v>
      </c>
      <c r="B24" s="2" t="s">
        <v>133</v>
      </c>
      <c r="C24" s="2" t="s">
        <v>134</v>
      </c>
      <c r="D24" s="2" t="s">
        <v>135</v>
      </c>
      <c r="E24" s="2" t="s">
        <v>136</v>
      </c>
      <c r="F24" s="3" t="s">
        <v>125</v>
      </c>
      <c r="G24" s="2" t="s">
        <v>126</v>
      </c>
      <c r="H24" s="3" t="s">
        <v>20</v>
      </c>
      <c r="I24" s="3" t="s">
        <v>21</v>
      </c>
      <c r="J24" s="3" t="n">
        <v>2</v>
      </c>
      <c r="K24" s="3" t="n">
        <v>2025</v>
      </c>
      <c r="L24" s="4" t="b">
        <f aca="false">TRUE()</f>
        <v>1</v>
      </c>
      <c r="M24" s="5" t="n">
        <v>42</v>
      </c>
    </row>
    <row r="25" customFormat="false" ht="15" hidden="false" customHeight="false" outlineLevel="0" collapsed="false">
      <c r="A25" s="6" t="s">
        <v>137</v>
      </c>
      <c r="B25" s="6" t="s">
        <v>138</v>
      </c>
      <c r="C25" s="6" t="s">
        <v>139</v>
      </c>
      <c r="D25" s="6" t="s">
        <v>140</v>
      </c>
      <c r="E25" s="6" t="s">
        <v>141</v>
      </c>
      <c r="F25" s="7" t="s">
        <v>125</v>
      </c>
      <c r="G25" s="6" t="s">
        <v>126</v>
      </c>
      <c r="H25" s="7" t="s">
        <v>20</v>
      </c>
      <c r="I25" s="7" t="s">
        <v>21</v>
      </c>
      <c r="J25" s="7" t="n">
        <v>2</v>
      </c>
      <c r="K25" s="7" t="n">
        <v>2025</v>
      </c>
      <c r="L25" s="8" t="b">
        <f aca="false">TRUE()</f>
        <v>1</v>
      </c>
      <c r="M25" s="9" t="n">
        <v>10</v>
      </c>
    </row>
    <row r="26" customFormat="false" ht="15" hidden="false" customHeight="false" outlineLevel="0" collapsed="false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3" t="s">
        <v>125</v>
      </c>
      <c r="G26" s="2" t="s">
        <v>126</v>
      </c>
      <c r="H26" s="3" t="s">
        <v>20</v>
      </c>
      <c r="I26" s="3" t="s">
        <v>21</v>
      </c>
      <c r="J26" s="3" t="n">
        <v>3</v>
      </c>
      <c r="K26" s="3" t="n">
        <v>2024</v>
      </c>
      <c r="L26" s="4" t="b">
        <f aca="false">TRUE()</f>
        <v>1</v>
      </c>
      <c r="M26" s="5" t="n">
        <v>55</v>
      </c>
    </row>
    <row r="27" customFormat="false" ht="15" hidden="false" customHeight="false" outlineLevel="0" collapsed="false">
      <c r="A27" s="6" t="s">
        <v>147</v>
      </c>
      <c r="B27" s="6" t="s">
        <v>148</v>
      </c>
      <c r="C27" s="6" t="s">
        <v>149</v>
      </c>
      <c r="D27" s="6" t="s">
        <v>150</v>
      </c>
      <c r="E27" s="6" t="s">
        <v>151</v>
      </c>
      <c r="F27" s="7" t="s">
        <v>125</v>
      </c>
      <c r="G27" s="6" t="s">
        <v>126</v>
      </c>
      <c r="H27" s="7" t="s">
        <v>20</v>
      </c>
      <c r="I27" s="7" t="s">
        <v>21</v>
      </c>
      <c r="J27" s="7" t="n">
        <v>3</v>
      </c>
      <c r="K27" s="7" t="n">
        <v>2024</v>
      </c>
      <c r="L27" s="8" t="b">
        <f aca="false">TRUE()</f>
        <v>1</v>
      </c>
      <c r="M27" s="9" t="n">
        <v>34</v>
      </c>
    </row>
    <row r="28" customFormat="false" ht="15" hidden="false" customHeight="false" outlineLevel="0" collapsed="false">
      <c r="A28" s="2" t="s">
        <v>152</v>
      </c>
      <c r="B28" s="2" t="s">
        <v>153</v>
      </c>
      <c r="C28" s="2" t="s">
        <v>154</v>
      </c>
      <c r="D28" s="2" t="s">
        <v>155</v>
      </c>
      <c r="E28" s="2" t="s">
        <v>156</v>
      </c>
      <c r="F28" s="3" t="s">
        <v>125</v>
      </c>
      <c r="G28" s="2" t="s">
        <v>126</v>
      </c>
      <c r="H28" s="3" t="s">
        <v>20</v>
      </c>
      <c r="I28" s="3" t="s">
        <v>21</v>
      </c>
      <c r="J28" s="3" t="n">
        <v>4</v>
      </c>
      <c r="K28" s="3" t="n">
        <v>2023</v>
      </c>
      <c r="L28" s="4" t="b">
        <f aca="false">TRUE()</f>
        <v>1</v>
      </c>
      <c r="M28" s="5" t="n">
        <v>67</v>
      </c>
    </row>
    <row r="29" customFormat="false" ht="15" hidden="false" customHeight="false" outlineLevel="0" collapsed="false">
      <c r="A29" s="6" t="s">
        <v>157</v>
      </c>
      <c r="B29" s="6" t="s">
        <v>158</v>
      </c>
      <c r="C29" s="6" t="s">
        <v>159</v>
      </c>
      <c r="D29" s="6" t="s">
        <v>160</v>
      </c>
      <c r="E29" s="6" t="s">
        <v>161</v>
      </c>
      <c r="F29" s="7" t="s">
        <v>125</v>
      </c>
      <c r="G29" s="6" t="s">
        <v>126</v>
      </c>
      <c r="H29" s="7" t="s">
        <v>20</v>
      </c>
      <c r="I29" s="7" t="s">
        <v>21</v>
      </c>
      <c r="J29" s="7" t="n">
        <v>4</v>
      </c>
      <c r="K29" s="7" t="n">
        <v>2023</v>
      </c>
      <c r="L29" s="8" t="b">
        <f aca="false">TRUE()</f>
        <v>1</v>
      </c>
      <c r="M29" s="9" t="n">
        <v>96</v>
      </c>
    </row>
    <row r="30" customFormat="false" ht="15" hidden="false" customHeight="false" outlineLevel="0" collapsed="false">
      <c r="A30" s="2" t="s">
        <v>162</v>
      </c>
      <c r="B30" s="2" t="s">
        <v>163</v>
      </c>
      <c r="C30" s="2" t="s">
        <v>164</v>
      </c>
      <c r="D30" s="2" t="s">
        <v>165</v>
      </c>
      <c r="E30" s="2" t="s">
        <v>166</v>
      </c>
      <c r="F30" s="3" t="s">
        <v>167</v>
      </c>
      <c r="G30" s="2" t="s">
        <v>168</v>
      </c>
      <c r="H30" s="3" t="s">
        <v>20</v>
      </c>
      <c r="I30" s="3" t="s">
        <v>21</v>
      </c>
      <c r="J30" s="3" t="n">
        <v>1</v>
      </c>
      <c r="K30" s="3" t="n">
        <v>2026</v>
      </c>
      <c r="L30" s="4" t="b">
        <f aca="false">TRUE()</f>
        <v>1</v>
      </c>
      <c r="M30" s="5" t="n">
        <v>14</v>
      </c>
    </row>
    <row r="31" customFormat="false" ht="15" hidden="false" customHeight="false" outlineLevel="0" collapsed="false">
      <c r="A31" s="6" t="s">
        <v>169</v>
      </c>
      <c r="B31" s="6" t="s">
        <v>170</v>
      </c>
      <c r="C31" s="6" t="s">
        <v>171</v>
      </c>
      <c r="D31" s="6" t="s">
        <v>172</v>
      </c>
      <c r="E31" s="6" t="s">
        <v>173</v>
      </c>
      <c r="F31" s="7" t="s">
        <v>167</v>
      </c>
      <c r="G31" s="6" t="s">
        <v>168</v>
      </c>
      <c r="H31" s="7" t="s">
        <v>20</v>
      </c>
      <c r="I31" s="7" t="s">
        <v>21</v>
      </c>
      <c r="J31" s="7" t="n">
        <v>1</v>
      </c>
      <c r="K31" s="7" t="n">
        <v>2026</v>
      </c>
      <c r="L31" s="8" t="b">
        <f aca="false">TRUE()</f>
        <v>1</v>
      </c>
      <c r="M31" s="9" t="n">
        <v>14</v>
      </c>
    </row>
    <row r="32" customFormat="false" ht="15" hidden="false" customHeight="false" outlineLevel="0" collapsed="false">
      <c r="A32" s="2" t="s">
        <v>174</v>
      </c>
      <c r="B32" s="2" t="s">
        <v>175</v>
      </c>
      <c r="C32" s="2" t="s">
        <v>176</v>
      </c>
      <c r="D32" s="2" t="s">
        <v>177</v>
      </c>
      <c r="E32" s="2" t="s">
        <v>178</v>
      </c>
      <c r="F32" s="3" t="s">
        <v>167</v>
      </c>
      <c r="G32" s="2" t="s">
        <v>168</v>
      </c>
      <c r="H32" s="3" t="s">
        <v>20</v>
      </c>
      <c r="I32" s="3" t="s">
        <v>21</v>
      </c>
      <c r="J32" s="3" t="n">
        <v>2</v>
      </c>
      <c r="K32" s="3" t="n">
        <v>2025</v>
      </c>
      <c r="L32" s="4" t="b">
        <f aca="false">TRUE()</f>
        <v>1</v>
      </c>
      <c r="M32" s="5" t="n">
        <v>41</v>
      </c>
    </row>
    <row r="33" customFormat="false" ht="15" hidden="false" customHeight="false" outlineLevel="0" collapsed="false">
      <c r="A33" s="6" t="s">
        <v>179</v>
      </c>
      <c r="B33" s="6" t="s">
        <v>180</v>
      </c>
      <c r="C33" s="6" t="s">
        <v>181</v>
      </c>
      <c r="D33" s="6" t="s">
        <v>182</v>
      </c>
      <c r="E33" s="6" t="s">
        <v>183</v>
      </c>
      <c r="F33" s="7" t="s">
        <v>167</v>
      </c>
      <c r="G33" s="6" t="s">
        <v>168</v>
      </c>
      <c r="H33" s="7" t="s">
        <v>20</v>
      </c>
      <c r="I33" s="7" t="s">
        <v>21</v>
      </c>
      <c r="J33" s="7" t="n">
        <v>2</v>
      </c>
      <c r="K33" s="7" t="n">
        <v>2025</v>
      </c>
      <c r="L33" s="8" t="b">
        <f aca="false">TRUE()</f>
        <v>1</v>
      </c>
      <c r="M33" s="9" t="n">
        <v>41</v>
      </c>
    </row>
    <row r="34" customFormat="false" ht="15" hidden="false" customHeight="false" outlineLevel="0" collapsed="false">
      <c r="A34" s="2" t="s">
        <v>184</v>
      </c>
      <c r="B34" s="2" t="s">
        <v>185</v>
      </c>
      <c r="C34" s="2" t="s">
        <v>186</v>
      </c>
      <c r="D34" s="2" t="s">
        <v>187</v>
      </c>
      <c r="E34" s="2" t="s">
        <v>188</v>
      </c>
      <c r="F34" s="3" t="s">
        <v>167</v>
      </c>
      <c r="G34" s="2" t="s">
        <v>168</v>
      </c>
      <c r="H34" s="3" t="s">
        <v>20</v>
      </c>
      <c r="I34" s="3" t="s">
        <v>21</v>
      </c>
      <c r="J34" s="3" t="n">
        <v>3</v>
      </c>
      <c r="K34" s="3" t="n">
        <v>2024</v>
      </c>
      <c r="L34" s="4" t="b">
        <f aca="false">TRUE()</f>
        <v>1</v>
      </c>
      <c r="M34" s="5" t="n">
        <v>37</v>
      </c>
    </row>
    <row r="35" customFormat="false" ht="15" hidden="false" customHeight="false" outlineLevel="0" collapsed="false">
      <c r="A35" s="6" t="s">
        <v>189</v>
      </c>
      <c r="B35" s="6" t="s">
        <v>190</v>
      </c>
      <c r="C35" s="6" t="s">
        <v>191</v>
      </c>
      <c r="D35" s="6" t="s">
        <v>192</v>
      </c>
      <c r="E35" s="6" t="s">
        <v>193</v>
      </c>
      <c r="F35" s="7" t="s">
        <v>167</v>
      </c>
      <c r="G35" s="6" t="s">
        <v>168</v>
      </c>
      <c r="H35" s="7" t="s">
        <v>20</v>
      </c>
      <c r="I35" s="7" t="s">
        <v>21</v>
      </c>
      <c r="J35" s="7" t="n">
        <v>4</v>
      </c>
      <c r="K35" s="7" t="n">
        <v>2023</v>
      </c>
      <c r="L35" s="8" t="b">
        <f aca="false">TRUE()</f>
        <v>1</v>
      </c>
      <c r="M35" s="9" t="n">
        <v>84</v>
      </c>
    </row>
    <row r="36" customFormat="false" ht="15" hidden="false" customHeight="false" outlineLevel="0" collapsed="false">
      <c r="A36" s="2" t="s">
        <v>194</v>
      </c>
      <c r="B36" s="2" t="s">
        <v>195</v>
      </c>
      <c r="C36" s="2" t="s">
        <v>196</v>
      </c>
      <c r="D36" s="2" t="s">
        <v>197</v>
      </c>
      <c r="E36" s="2" t="s">
        <v>198</v>
      </c>
      <c r="F36" s="3" t="s">
        <v>199</v>
      </c>
      <c r="G36" s="2" t="s">
        <v>200</v>
      </c>
      <c r="H36" s="3" t="s">
        <v>20</v>
      </c>
      <c r="I36" s="3" t="s">
        <v>21</v>
      </c>
      <c r="J36" s="3" t="n">
        <v>1</v>
      </c>
      <c r="K36" s="3" t="n">
        <v>2026</v>
      </c>
      <c r="L36" s="4" t="b">
        <f aca="false">TRUE()</f>
        <v>1</v>
      </c>
      <c r="M36" s="5" t="n">
        <v>17</v>
      </c>
    </row>
    <row r="37" customFormat="false" ht="15" hidden="false" customHeight="false" outlineLevel="0" collapsed="false">
      <c r="A37" s="6" t="s">
        <v>201</v>
      </c>
      <c r="B37" s="6" t="s">
        <v>202</v>
      </c>
      <c r="C37" s="6" t="s">
        <v>203</v>
      </c>
      <c r="D37" s="6" t="s">
        <v>204</v>
      </c>
      <c r="E37" s="6" t="s">
        <v>205</v>
      </c>
      <c r="F37" s="7" t="s">
        <v>199</v>
      </c>
      <c r="G37" s="6" t="s">
        <v>200</v>
      </c>
      <c r="H37" s="7" t="s">
        <v>20</v>
      </c>
      <c r="I37" s="7" t="s">
        <v>21</v>
      </c>
      <c r="J37" s="7" t="n">
        <v>1</v>
      </c>
      <c r="K37" s="7" t="n">
        <v>2026</v>
      </c>
      <c r="L37" s="8" t="b">
        <f aca="false">TRUE()</f>
        <v>1</v>
      </c>
      <c r="M37" s="9" t="n">
        <v>14</v>
      </c>
    </row>
    <row r="38" customFormat="false" ht="15" hidden="false" customHeight="false" outlineLevel="0" collapsed="false">
      <c r="A38" s="2" t="s">
        <v>206</v>
      </c>
      <c r="B38" s="2" t="s">
        <v>207</v>
      </c>
      <c r="C38" s="2" t="s">
        <v>208</v>
      </c>
      <c r="D38" s="2" t="s">
        <v>209</v>
      </c>
      <c r="E38" s="2" t="s">
        <v>210</v>
      </c>
      <c r="F38" s="3" t="s">
        <v>199</v>
      </c>
      <c r="G38" s="2" t="s">
        <v>200</v>
      </c>
      <c r="H38" s="3" t="s">
        <v>20</v>
      </c>
      <c r="I38" s="3" t="s">
        <v>21</v>
      </c>
      <c r="J38" s="3" t="n">
        <v>2</v>
      </c>
      <c r="K38" s="3" t="n">
        <v>2025</v>
      </c>
      <c r="L38" s="4" t="b">
        <f aca="false">TRUE()</f>
        <v>1</v>
      </c>
      <c r="M38" s="5" t="n">
        <v>12</v>
      </c>
    </row>
    <row r="39" customFormat="false" ht="15" hidden="false" customHeight="false" outlineLevel="0" collapsed="false">
      <c r="A39" s="6" t="s">
        <v>211</v>
      </c>
      <c r="B39" s="6" t="s">
        <v>212</v>
      </c>
      <c r="C39" s="6" t="s">
        <v>213</v>
      </c>
      <c r="D39" s="6" t="s">
        <v>214</v>
      </c>
      <c r="E39" s="6" t="s">
        <v>215</v>
      </c>
      <c r="F39" s="7" t="s">
        <v>199</v>
      </c>
      <c r="G39" s="6" t="s">
        <v>200</v>
      </c>
      <c r="H39" s="7" t="s">
        <v>20</v>
      </c>
      <c r="I39" s="7" t="s">
        <v>21</v>
      </c>
      <c r="J39" s="7" t="n">
        <v>2</v>
      </c>
      <c r="K39" s="7" t="n">
        <v>2025</v>
      </c>
      <c r="L39" s="8" t="b">
        <f aca="false">TRUE()</f>
        <v>1</v>
      </c>
      <c r="M39" s="9" t="n">
        <v>42</v>
      </c>
    </row>
    <row r="40" customFormat="false" ht="15" hidden="false" customHeight="false" outlineLevel="0" collapsed="false">
      <c r="A40" s="2" t="s">
        <v>216</v>
      </c>
      <c r="B40" s="2" t="s">
        <v>217</v>
      </c>
      <c r="C40" s="2" t="s">
        <v>218</v>
      </c>
      <c r="D40" s="2" t="s">
        <v>219</v>
      </c>
      <c r="E40" s="2" t="s">
        <v>220</v>
      </c>
      <c r="F40" s="3" t="s">
        <v>199</v>
      </c>
      <c r="G40" s="2" t="s">
        <v>200</v>
      </c>
      <c r="H40" s="3" t="s">
        <v>20</v>
      </c>
      <c r="I40" s="3" t="s">
        <v>21</v>
      </c>
      <c r="J40" s="3" t="n">
        <v>3</v>
      </c>
      <c r="K40" s="3" t="n">
        <v>2024</v>
      </c>
      <c r="L40" s="4" t="b">
        <f aca="false">TRUE()</f>
        <v>1</v>
      </c>
      <c r="M40" s="5" t="n">
        <v>45</v>
      </c>
    </row>
    <row r="41" customFormat="false" ht="15" hidden="false" customHeight="false" outlineLevel="0" collapsed="false">
      <c r="A41" s="6" t="s">
        <v>221</v>
      </c>
      <c r="B41" s="6" t="s">
        <v>222</v>
      </c>
      <c r="C41" s="6" t="s">
        <v>223</v>
      </c>
      <c r="D41" s="6" t="s">
        <v>224</v>
      </c>
      <c r="E41" s="6" t="s">
        <v>225</v>
      </c>
      <c r="F41" s="7" t="s">
        <v>199</v>
      </c>
      <c r="G41" s="6" t="s">
        <v>200</v>
      </c>
      <c r="H41" s="7" t="s">
        <v>20</v>
      </c>
      <c r="I41" s="7" t="s">
        <v>21</v>
      </c>
      <c r="J41" s="7" t="n">
        <v>4</v>
      </c>
      <c r="K41" s="7" t="n">
        <v>2023</v>
      </c>
      <c r="L41" s="8" t="b">
        <f aca="false">TRUE()</f>
        <v>1</v>
      </c>
      <c r="M41" s="9" t="n">
        <v>98</v>
      </c>
    </row>
    <row r="42" customFormat="false" ht="15" hidden="false" customHeight="false" outlineLevel="0" collapsed="false">
      <c r="A42" s="2" t="s">
        <v>226</v>
      </c>
      <c r="B42" s="2" t="s">
        <v>227</v>
      </c>
      <c r="C42" s="2" t="s">
        <v>228</v>
      </c>
      <c r="D42" s="2" t="s">
        <v>229</v>
      </c>
      <c r="E42" s="2" t="s">
        <v>230</v>
      </c>
      <c r="F42" s="3" t="s">
        <v>231</v>
      </c>
      <c r="G42" s="2" t="s">
        <v>232</v>
      </c>
      <c r="H42" s="3" t="s">
        <v>20</v>
      </c>
      <c r="I42" s="3" t="s">
        <v>21</v>
      </c>
      <c r="J42" s="3" t="n">
        <v>1</v>
      </c>
      <c r="K42" s="3" t="n">
        <v>2026</v>
      </c>
      <c r="L42" s="4" t="b">
        <f aca="false">TRUE()</f>
        <v>1</v>
      </c>
      <c r="M42" s="5" t="n">
        <v>14</v>
      </c>
    </row>
    <row r="43" customFormat="false" ht="15" hidden="false" customHeight="false" outlineLevel="0" collapsed="false">
      <c r="A43" s="6" t="s">
        <v>233</v>
      </c>
      <c r="B43" s="6" t="s">
        <v>234</v>
      </c>
      <c r="C43" s="6" t="s">
        <v>235</v>
      </c>
      <c r="D43" s="6" t="s">
        <v>236</v>
      </c>
      <c r="E43" s="6" t="s">
        <v>237</v>
      </c>
      <c r="F43" s="7" t="s">
        <v>231</v>
      </c>
      <c r="G43" s="6" t="s">
        <v>232</v>
      </c>
      <c r="H43" s="7" t="s">
        <v>20</v>
      </c>
      <c r="I43" s="7" t="s">
        <v>21</v>
      </c>
      <c r="J43" s="7" t="n">
        <v>2</v>
      </c>
      <c r="K43" s="7" t="n">
        <v>2025</v>
      </c>
      <c r="L43" s="8" t="b">
        <f aca="false">TRUE()</f>
        <v>1</v>
      </c>
      <c r="M43" s="9" t="n">
        <v>37</v>
      </c>
    </row>
    <row r="44" customFormat="false" ht="15" hidden="false" customHeight="false" outlineLevel="0" collapsed="false">
      <c r="A44" s="2" t="s">
        <v>238</v>
      </c>
      <c r="B44" s="2" t="s">
        <v>239</v>
      </c>
      <c r="C44" s="2" t="s">
        <v>240</v>
      </c>
      <c r="D44" s="2" t="s">
        <v>241</v>
      </c>
      <c r="E44" s="2" t="s">
        <v>242</v>
      </c>
      <c r="F44" s="3" t="s">
        <v>231</v>
      </c>
      <c r="G44" s="2" t="s">
        <v>232</v>
      </c>
      <c r="H44" s="3" t="s">
        <v>20</v>
      </c>
      <c r="I44" s="3" t="s">
        <v>21</v>
      </c>
      <c r="J44" s="3" t="n">
        <v>3</v>
      </c>
      <c r="K44" s="3" t="n">
        <v>2024</v>
      </c>
      <c r="L44" s="4" t="b">
        <f aca="false">TRUE()</f>
        <v>1</v>
      </c>
      <c r="M44" s="5" t="n">
        <v>55</v>
      </c>
    </row>
    <row r="45" customFormat="false" ht="15" hidden="false" customHeight="false" outlineLevel="0" collapsed="false">
      <c r="A45" s="6" t="s">
        <v>243</v>
      </c>
      <c r="B45" s="6" t="s">
        <v>244</v>
      </c>
      <c r="C45" s="6" t="s">
        <v>245</v>
      </c>
      <c r="D45" s="6" t="s">
        <v>246</v>
      </c>
      <c r="E45" s="6" t="s">
        <v>247</v>
      </c>
      <c r="F45" s="7" t="s">
        <v>231</v>
      </c>
      <c r="G45" s="6" t="s">
        <v>232</v>
      </c>
      <c r="H45" s="7" t="s">
        <v>20</v>
      </c>
      <c r="I45" s="7" t="s">
        <v>21</v>
      </c>
      <c r="J45" s="7" t="n">
        <v>4</v>
      </c>
      <c r="K45" s="7" t="n">
        <v>2023</v>
      </c>
      <c r="L45" s="8" t="b">
        <f aca="false">TRUE()</f>
        <v>1</v>
      </c>
      <c r="M45" s="9" t="n">
        <v>81</v>
      </c>
    </row>
    <row r="46" customFormat="false" ht="15" hidden="false" customHeight="false" outlineLevel="0" collapsed="false">
      <c r="A46" s="2" t="s">
        <v>248</v>
      </c>
      <c r="B46" s="2" t="s">
        <v>249</v>
      </c>
      <c r="C46" s="2" t="s">
        <v>250</v>
      </c>
      <c r="D46" s="2" t="s">
        <v>251</v>
      </c>
      <c r="E46" s="2" t="s">
        <v>252</v>
      </c>
      <c r="F46" s="3" t="s">
        <v>253</v>
      </c>
      <c r="G46" s="2" t="s">
        <v>254</v>
      </c>
      <c r="H46" s="3" t="s">
        <v>20</v>
      </c>
      <c r="I46" s="3" t="s">
        <v>84</v>
      </c>
      <c r="J46" s="3" t="n">
        <v>1</v>
      </c>
      <c r="K46" s="3" t="n">
        <v>2026</v>
      </c>
      <c r="L46" s="4" t="b">
        <f aca="false">FALSE()</f>
        <v>0</v>
      </c>
      <c r="M46" s="5" t="n">
        <v>15</v>
      </c>
    </row>
    <row r="47" customFormat="false" ht="15" hidden="false" customHeight="false" outlineLevel="0" collapsed="false">
      <c r="A47" s="6" t="s">
        <v>255</v>
      </c>
      <c r="B47" s="6" t="s">
        <v>256</v>
      </c>
      <c r="C47" s="6" t="s">
        <v>257</v>
      </c>
      <c r="D47" s="6" t="s">
        <v>258</v>
      </c>
      <c r="E47" s="6" t="s">
        <v>259</v>
      </c>
      <c r="F47" s="7" t="s">
        <v>253</v>
      </c>
      <c r="G47" s="6" t="s">
        <v>254</v>
      </c>
      <c r="H47" s="7" t="s">
        <v>20</v>
      </c>
      <c r="I47" s="7" t="s">
        <v>84</v>
      </c>
      <c r="J47" s="7" t="n">
        <v>1</v>
      </c>
      <c r="K47" s="7" t="n">
        <v>2026</v>
      </c>
      <c r="L47" s="8" t="b">
        <f aca="false">TRUE()</f>
        <v>1</v>
      </c>
      <c r="M47" s="9" t="n">
        <v>0</v>
      </c>
    </row>
    <row r="48" customFormat="false" ht="15" hidden="false" customHeight="false" outlineLevel="0" collapsed="false">
      <c r="A48" s="2" t="s">
        <v>260</v>
      </c>
      <c r="B48" s="2" t="s">
        <v>261</v>
      </c>
      <c r="C48" s="2" t="s">
        <v>262</v>
      </c>
      <c r="D48" s="2" t="s">
        <v>263</v>
      </c>
      <c r="E48" s="2" t="s">
        <v>264</v>
      </c>
      <c r="F48" s="3" t="s">
        <v>253</v>
      </c>
      <c r="G48" s="2" t="s">
        <v>254</v>
      </c>
      <c r="H48" s="3" t="s">
        <v>20</v>
      </c>
      <c r="I48" s="3" t="s">
        <v>84</v>
      </c>
      <c r="J48" s="3" t="n">
        <v>2</v>
      </c>
      <c r="K48" s="3" t="n">
        <v>2025</v>
      </c>
      <c r="L48" s="4" t="b">
        <f aca="false">TRUE()</f>
        <v>1</v>
      </c>
      <c r="M48" s="5" t="n">
        <v>16</v>
      </c>
    </row>
    <row r="49" customFormat="false" ht="15" hidden="false" customHeight="false" outlineLevel="0" collapsed="false">
      <c r="A49" s="6" t="s">
        <v>265</v>
      </c>
      <c r="B49" s="6" t="s">
        <v>266</v>
      </c>
      <c r="C49" s="6" t="s">
        <v>267</v>
      </c>
      <c r="D49" s="6" t="s">
        <v>268</v>
      </c>
      <c r="E49" s="6" t="s">
        <v>269</v>
      </c>
      <c r="F49" s="7" t="s">
        <v>253</v>
      </c>
      <c r="G49" s="6" t="s">
        <v>254</v>
      </c>
      <c r="H49" s="7" t="s">
        <v>20</v>
      </c>
      <c r="I49" s="7" t="s">
        <v>84</v>
      </c>
      <c r="J49" s="7" t="n">
        <v>2</v>
      </c>
      <c r="K49" s="7" t="n">
        <v>2025</v>
      </c>
      <c r="L49" s="8" t="b">
        <f aca="false">TRUE()</f>
        <v>1</v>
      </c>
      <c r="M49" s="9" t="n">
        <v>10</v>
      </c>
    </row>
    <row r="50" customFormat="false" ht="15" hidden="false" customHeight="false" outlineLevel="0" collapsed="false">
      <c r="A50" s="2" t="s">
        <v>270</v>
      </c>
      <c r="B50" s="2" t="s">
        <v>271</v>
      </c>
      <c r="C50" s="2" t="s">
        <v>272</v>
      </c>
      <c r="D50" s="2" t="s">
        <v>273</v>
      </c>
      <c r="E50" s="2" t="s">
        <v>274</v>
      </c>
      <c r="F50" s="3" t="s">
        <v>253</v>
      </c>
      <c r="G50" s="2" t="s">
        <v>254</v>
      </c>
      <c r="H50" s="3" t="s">
        <v>20</v>
      </c>
      <c r="I50" s="3" t="s">
        <v>84</v>
      </c>
      <c r="J50" s="3" t="n">
        <v>3</v>
      </c>
      <c r="K50" s="3" t="n">
        <v>2024</v>
      </c>
      <c r="L50" s="4" t="b">
        <f aca="false">TRUE()</f>
        <v>1</v>
      </c>
      <c r="M50" s="5" t="n">
        <v>72</v>
      </c>
    </row>
    <row r="51" customFormat="false" ht="15" hidden="false" customHeight="false" outlineLevel="0" collapsed="false">
      <c r="A51" s="6" t="s">
        <v>275</v>
      </c>
      <c r="B51" s="6" t="s">
        <v>276</v>
      </c>
      <c r="C51" s="6" t="s">
        <v>277</v>
      </c>
      <c r="D51" s="6" t="s">
        <v>278</v>
      </c>
      <c r="E51" s="6" t="s">
        <v>279</v>
      </c>
      <c r="F51" s="7" t="s">
        <v>253</v>
      </c>
      <c r="G51" s="6" t="s">
        <v>254</v>
      </c>
      <c r="H51" s="7" t="s">
        <v>20</v>
      </c>
      <c r="I51" s="7" t="s">
        <v>84</v>
      </c>
      <c r="J51" s="7" t="n">
        <v>4</v>
      </c>
      <c r="K51" s="7" t="n">
        <v>2023</v>
      </c>
      <c r="L51" s="8" t="b">
        <f aca="false">TRUE()</f>
        <v>1</v>
      </c>
      <c r="M51" s="9" t="n">
        <v>49</v>
      </c>
    </row>
    <row r="52" customFormat="false" ht="15" hidden="false" customHeight="false" outlineLevel="0" collapsed="false">
      <c r="A52" s="2" t="s">
        <v>280</v>
      </c>
      <c r="B52" s="2" t="s">
        <v>281</v>
      </c>
      <c r="C52" s="2" t="s">
        <v>282</v>
      </c>
      <c r="D52" s="2" t="s">
        <v>283</v>
      </c>
      <c r="E52" s="2" t="s">
        <v>284</v>
      </c>
      <c r="F52" s="3" t="s">
        <v>285</v>
      </c>
      <c r="G52" s="2" t="s">
        <v>286</v>
      </c>
      <c r="H52" s="3" t="s">
        <v>287</v>
      </c>
      <c r="I52" s="3" t="s">
        <v>288</v>
      </c>
      <c r="J52" s="3" t="n">
        <v>1</v>
      </c>
      <c r="K52" s="3" t="n">
        <v>2026</v>
      </c>
      <c r="L52" s="4" t="b">
        <f aca="false">TRUE()</f>
        <v>1</v>
      </c>
      <c r="M52" s="5" t="n">
        <v>18</v>
      </c>
    </row>
    <row r="53" customFormat="false" ht="15" hidden="false" customHeight="false" outlineLevel="0" collapsed="false">
      <c r="A53" s="6" t="s">
        <v>289</v>
      </c>
      <c r="B53" s="6" t="s">
        <v>290</v>
      </c>
      <c r="C53" s="6" t="s">
        <v>291</v>
      </c>
      <c r="D53" s="6" t="s">
        <v>292</v>
      </c>
      <c r="E53" s="6" t="s">
        <v>293</v>
      </c>
      <c r="F53" s="7" t="s">
        <v>285</v>
      </c>
      <c r="G53" s="6" t="s">
        <v>286</v>
      </c>
      <c r="H53" s="7" t="s">
        <v>287</v>
      </c>
      <c r="I53" s="7" t="s">
        <v>288</v>
      </c>
      <c r="J53" s="7" t="n">
        <v>1</v>
      </c>
      <c r="K53" s="7" t="n">
        <v>2026</v>
      </c>
      <c r="L53" s="8" t="b">
        <f aca="false">TRUE()</f>
        <v>1</v>
      </c>
      <c r="M53" s="9" t="n">
        <v>6</v>
      </c>
    </row>
    <row r="54" customFormat="false" ht="15" hidden="false" customHeight="false" outlineLevel="0" collapsed="false">
      <c r="A54" s="2" t="s">
        <v>294</v>
      </c>
      <c r="B54" s="2" t="s">
        <v>295</v>
      </c>
      <c r="C54" s="2" t="s">
        <v>296</v>
      </c>
      <c r="D54" s="2" t="s">
        <v>297</v>
      </c>
      <c r="E54" s="2" t="s">
        <v>298</v>
      </c>
      <c r="F54" s="3" t="s">
        <v>285</v>
      </c>
      <c r="G54" s="2" t="s">
        <v>286</v>
      </c>
      <c r="H54" s="3" t="s">
        <v>287</v>
      </c>
      <c r="I54" s="3" t="s">
        <v>288</v>
      </c>
      <c r="J54" s="3" t="n">
        <v>2</v>
      </c>
      <c r="K54" s="3" t="n">
        <v>2025</v>
      </c>
      <c r="L54" s="4" t="b">
        <f aca="false">TRUE()</f>
        <v>1</v>
      </c>
      <c r="M54" s="5" t="n">
        <v>15</v>
      </c>
    </row>
    <row r="55" customFormat="false" ht="15" hidden="false" customHeight="false" outlineLevel="0" collapsed="false">
      <c r="A55" s="6" t="s">
        <v>299</v>
      </c>
      <c r="B55" s="6" t="s">
        <v>300</v>
      </c>
      <c r="C55" s="6" t="s">
        <v>301</v>
      </c>
      <c r="D55" s="6" t="s">
        <v>302</v>
      </c>
      <c r="E55" s="6" t="s">
        <v>303</v>
      </c>
      <c r="F55" s="7" t="s">
        <v>304</v>
      </c>
      <c r="G55" s="6" t="s">
        <v>305</v>
      </c>
      <c r="H55" s="7" t="s">
        <v>287</v>
      </c>
      <c r="I55" s="7" t="s">
        <v>304</v>
      </c>
      <c r="J55" s="7" t="n">
        <v>1</v>
      </c>
      <c r="K55" s="7" t="n">
        <v>2026</v>
      </c>
      <c r="L55" s="8" t="b">
        <f aca="false">TRUE()</f>
        <v>1</v>
      </c>
      <c r="M55" s="9" t="n">
        <v>3</v>
      </c>
    </row>
    <row r="56" customFormat="false" ht="15" hidden="false" customHeight="false" outlineLevel="0" collapsed="false">
      <c r="A56" s="2" t="s">
        <v>306</v>
      </c>
      <c r="B56" s="2" t="s">
        <v>307</v>
      </c>
      <c r="C56" s="2" t="s">
        <v>308</v>
      </c>
      <c r="D56" s="2" t="s">
        <v>309</v>
      </c>
      <c r="E56" s="2" t="s">
        <v>310</v>
      </c>
      <c r="F56" s="3" t="s">
        <v>304</v>
      </c>
      <c r="G56" s="2" t="s">
        <v>305</v>
      </c>
      <c r="H56" s="3" t="s">
        <v>287</v>
      </c>
      <c r="I56" s="3" t="s">
        <v>304</v>
      </c>
      <c r="J56" s="3" t="n">
        <v>1</v>
      </c>
      <c r="K56" s="3" t="n">
        <v>2026</v>
      </c>
      <c r="L56" s="4" t="b">
        <f aca="false">TRUE()</f>
        <v>1</v>
      </c>
      <c r="M56" s="5" t="n">
        <v>8</v>
      </c>
    </row>
    <row r="57" customFormat="false" ht="15" hidden="false" customHeight="false" outlineLevel="0" collapsed="false">
      <c r="A57" s="6" t="s">
        <v>311</v>
      </c>
      <c r="B57" s="6" t="s">
        <v>312</v>
      </c>
      <c r="C57" s="6" t="s">
        <v>313</v>
      </c>
      <c r="D57" s="6" t="s">
        <v>314</v>
      </c>
      <c r="E57" s="6" t="s">
        <v>315</v>
      </c>
      <c r="F57" s="7" t="s">
        <v>304</v>
      </c>
      <c r="G57" s="6" t="s">
        <v>305</v>
      </c>
      <c r="H57" s="7" t="s">
        <v>287</v>
      </c>
      <c r="I57" s="7" t="s">
        <v>304</v>
      </c>
      <c r="J57" s="7" t="n">
        <v>2</v>
      </c>
      <c r="K57" s="7" t="n">
        <v>2025</v>
      </c>
      <c r="L57" s="8" t="b">
        <f aca="false">TRUE()</f>
        <v>1</v>
      </c>
      <c r="M57" s="9" t="n">
        <v>12</v>
      </c>
    </row>
    <row r="58" customFormat="false" ht="15" hidden="false" customHeight="false" outlineLevel="0" collapsed="false">
      <c r="A58" s="2" t="s">
        <v>316</v>
      </c>
      <c r="B58" s="2" t="s">
        <v>317</v>
      </c>
      <c r="C58" s="2" t="s">
        <v>318</v>
      </c>
      <c r="D58" s="2" t="s">
        <v>319</v>
      </c>
      <c r="E58" s="2" t="s">
        <v>320</v>
      </c>
      <c r="F58" s="3" t="s">
        <v>304</v>
      </c>
      <c r="G58" s="2" t="s">
        <v>305</v>
      </c>
      <c r="H58" s="3" t="s">
        <v>287</v>
      </c>
      <c r="I58" s="3" t="s">
        <v>304</v>
      </c>
      <c r="J58" s="3" t="n">
        <v>2</v>
      </c>
      <c r="K58" s="3" t="n">
        <v>2025</v>
      </c>
      <c r="L58" s="4" t="b">
        <f aca="false">TRUE()</f>
        <v>1</v>
      </c>
      <c r="M58" s="5" t="n">
        <v>32</v>
      </c>
    </row>
    <row r="59" customFormat="false" ht="15" hidden="false" customHeight="false" outlineLevel="0" collapsed="false">
      <c r="A59" s="6" t="s">
        <v>321</v>
      </c>
      <c r="B59" s="6" t="s">
        <v>322</v>
      </c>
      <c r="C59" s="6" t="s">
        <v>323</v>
      </c>
      <c r="D59" s="6" t="s">
        <v>324</v>
      </c>
      <c r="E59" s="6" t="s">
        <v>325</v>
      </c>
      <c r="F59" s="7" t="s">
        <v>326</v>
      </c>
      <c r="G59" s="6" t="s">
        <v>327</v>
      </c>
      <c r="H59" s="7" t="s">
        <v>287</v>
      </c>
      <c r="I59" s="7" t="s">
        <v>326</v>
      </c>
      <c r="J59" s="7" t="n">
        <v>1</v>
      </c>
      <c r="K59" s="7" t="n">
        <v>2026</v>
      </c>
      <c r="L59" s="8" t="b">
        <f aca="false">TRUE()</f>
        <v>1</v>
      </c>
      <c r="M59" s="9" t="n">
        <v>0</v>
      </c>
    </row>
    <row r="60" customFormat="false" ht="15" hidden="false" customHeight="false" outlineLevel="0" collapsed="false">
      <c r="A60" s="2" t="s">
        <v>328</v>
      </c>
      <c r="B60" s="2" t="s">
        <v>329</v>
      </c>
      <c r="C60" s="2" t="s">
        <v>330</v>
      </c>
      <c r="D60" s="2" t="s">
        <v>331</v>
      </c>
      <c r="E60" s="2" t="s">
        <v>332</v>
      </c>
      <c r="F60" s="3" t="s">
        <v>326</v>
      </c>
      <c r="G60" s="2" t="s">
        <v>327</v>
      </c>
      <c r="H60" s="3" t="s">
        <v>287</v>
      </c>
      <c r="I60" s="3" t="s">
        <v>326</v>
      </c>
      <c r="J60" s="3" t="n">
        <v>1</v>
      </c>
      <c r="K60" s="3" t="n">
        <v>2026</v>
      </c>
      <c r="L60" s="4" t="b">
        <f aca="false">TRUE()</f>
        <v>1</v>
      </c>
      <c r="M60" s="5" t="n">
        <v>4</v>
      </c>
    </row>
    <row r="61" customFormat="false" ht="15" hidden="false" customHeight="false" outlineLevel="0" collapsed="false">
      <c r="A61" s="6" t="s">
        <v>333</v>
      </c>
      <c r="B61" s="6" t="s">
        <v>334</v>
      </c>
      <c r="C61" s="6" t="s">
        <v>335</v>
      </c>
      <c r="D61" s="6" t="s">
        <v>336</v>
      </c>
      <c r="E61" s="6" t="s">
        <v>337</v>
      </c>
      <c r="F61" s="7" t="s">
        <v>326</v>
      </c>
      <c r="G61" s="6" t="s">
        <v>327</v>
      </c>
      <c r="H61" s="7" t="s">
        <v>287</v>
      </c>
      <c r="I61" s="7" t="s">
        <v>326</v>
      </c>
      <c r="J61" s="7" t="n">
        <v>2</v>
      </c>
      <c r="K61" s="7" t="n">
        <v>2025</v>
      </c>
      <c r="L61" s="8" t="b">
        <f aca="false">TRUE()</f>
        <v>1</v>
      </c>
      <c r="M61" s="9" t="n">
        <v>41</v>
      </c>
    </row>
  </sheetData>
  <autoFilter ref="A1:M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6" min="4" style="0" width="10"/>
    <col collapsed="false" customWidth="true" hidden="false" outlineLevel="0" max="7" min="7" style="0" width="15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338</v>
      </c>
      <c r="F1" s="1" t="s">
        <v>11</v>
      </c>
      <c r="G1" s="1" t="s">
        <v>339</v>
      </c>
      <c r="H1" s="1" t="s">
        <v>340</v>
      </c>
    </row>
    <row r="2" customFormat="false" ht="15" hidden="false" customHeight="false" outlineLevel="0" collapsed="false">
      <c r="A2" s="2" t="s">
        <v>18</v>
      </c>
      <c r="B2" s="2" t="s">
        <v>19</v>
      </c>
      <c r="C2" s="3" t="s">
        <v>20</v>
      </c>
      <c r="D2" s="3" t="s">
        <v>21</v>
      </c>
      <c r="E2" s="3" t="s">
        <v>341</v>
      </c>
      <c r="F2" s="4" t="b">
        <f aca="false">TRUE()</f>
        <v>1</v>
      </c>
      <c r="G2" s="3" t="n">
        <f aca="false">COUNTIF(Students!$F$2:$F$61,A2)</f>
        <v>12</v>
      </c>
      <c r="H2" s="10" t="n">
        <f aca="false">IFERROR(AVERAGEIF(Students!$F$2:$F$61,A2,Students!$M$2:$M$61),0)</f>
        <v>41.6666666666667</v>
      </c>
    </row>
    <row r="3" customFormat="false" ht="15" hidden="false" customHeight="false" outlineLevel="0" collapsed="false">
      <c r="A3" s="2" t="s">
        <v>82</v>
      </c>
      <c r="B3" s="2" t="s">
        <v>83</v>
      </c>
      <c r="C3" s="3" t="s">
        <v>20</v>
      </c>
      <c r="D3" s="3" t="s">
        <v>84</v>
      </c>
      <c r="E3" s="3" t="s">
        <v>82</v>
      </c>
      <c r="F3" s="4" t="b">
        <f aca="false">TRUE()</f>
        <v>1</v>
      </c>
      <c r="G3" s="3" t="n">
        <f aca="false">COUNTIF(Students!$F$2:$F$61,A3)</f>
        <v>8</v>
      </c>
      <c r="H3" s="10" t="n">
        <f aca="false">IFERROR(AVERAGEIF(Students!$F$2:$F$61,A3,Students!$M$2:$M$61),0)</f>
        <v>46.5</v>
      </c>
    </row>
    <row r="4" customFormat="false" ht="15" hidden="false" customHeight="false" outlineLevel="0" collapsed="false">
      <c r="A4" s="2" t="s">
        <v>125</v>
      </c>
      <c r="B4" s="2" t="s">
        <v>126</v>
      </c>
      <c r="C4" s="3" t="s">
        <v>20</v>
      </c>
      <c r="D4" s="3" t="s">
        <v>21</v>
      </c>
      <c r="E4" s="3" t="s">
        <v>342</v>
      </c>
      <c r="F4" s="4" t="b">
        <f aca="false">TRUE()</f>
        <v>1</v>
      </c>
      <c r="G4" s="3" t="n">
        <f aca="false">COUNTIF(Students!$F$2:$F$61,A4)</f>
        <v>8</v>
      </c>
      <c r="H4" s="10" t="n">
        <f aca="false">IFERROR(AVERAGEIF(Students!$F$2:$F$61,A4,Students!$M$2:$M$61),0)</f>
        <v>41.25</v>
      </c>
    </row>
    <row r="5" customFormat="false" ht="15" hidden="false" customHeight="false" outlineLevel="0" collapsed="false">
      <c r="A5" s="2" t="s">
        <v>167</v>
      </c>
      <c r="B5" s="2" t="s">
        <v>168</v>
      </c>
      <c r="C5" s="3" t="s">
        <v>20</v>
      </c>
      <c r="D5" s="3" t="s">
        <v>21</v>
      </c>
      <c r="E5" s="3" t="s">
        <v>343</v>
      </c>
      <c r="F5" s="4" t="b">
        <f aca="false">TRUE()</f>
        <v>1</v>
      </c>
      <c r="G5" s="3" t="n">
        <f aca="false">COUNTIF(Students!$F$2:$F$61,A5)</f>
        <v>6</v>
      </c>
      <c r="H5" s="10" t="n">
        <f aca="false">IFERROR(AVERAGEIF(Students!$F$2:$F$61,A5,Students!$M$2:$M$61),0)</f>
        <v>38.5</v>
      </c>
    </row>
    <row r="6" customFormat="false" ht="15" hidden="false" customHeight="false" outlineLevel="0" collapsed="false">
      <c r="A6" s="2" t="s">
        <v>199</v>
      </c>
      <c r="B6" s="2" t="s">
        <v>200</v>
      </c>
      <c r="C6" s="3" t="s">
        <v>20</v>
      </c>
      <c r="D6" s="3" t="s">
        <v>21</v>
      </c>
      <c r="E6" s="3" t="s">
        <v>344</v>
      </c>
      <c r="F6" s="4" t="b">
        <f aca="false">TRUE()</f>
        <v>1</v>
      </c>
      <c r="G6" s="3" t="n">
        <f aca="false">COUNTIF(Students!$F$2:$F$61,A6)</f>
        <v>6</v>
      </c>
      <c r="H6" s="10" t="n">
        <f aca="false">IFERROR(AVERAGEIF(Students!$F$2:$F$61,A6,Students!$M$2:$M$61),0)</f>
        <v>38</v>
      </c>
    </row>
    <row r="7" customFormat="false" ht="15" hidden="false" customHeight="false" outlineLevel="0" collapsed="false">
      <c r="A7" s="2" t="s">
        <v>231</v>
      </c>
      <c r="B7" s="2" t="s">
        <v>232</v>
      </c>
      <c r="C7" s="3" t="s">
        <v>20</v>
      </c>
      <c r="D7" s="3" t="s">
        <v>21</v>
      </c>
      <c r="E7" s="3" t="s">
        <v>345</v>
      </c>
      <c r="F7" s="4" t="b">
        <f aca="false">TRUE()</f>
        <v>1</v>
      </c>
      <c r="G7" s="3" t="n">
        <f aca="false">COUNTIF(Students!$F$2:$F$61,A7)</f>
        <v>4</v>
      </c>
      <c r="H7" s="10" t="n">
        <f aca="false">IFERROR(AVERAGEIF(Students!$F$2:$F$61,A7,Students!$M$2:$M$61),0)</f>
        <v>46.75</v>
      </c>
    </row>
    <row r="8" customFormat="false" ht="15" hidden="false" customHeight="false" outlineLevel="0" collapsed="false">
      <c r="A8" s="2" t="s">
        <v>253</v>
      </c>
      <c r="B8" s="2" t="s">
        <v>254</v>
      </c>
      <c r="C8" s="3" t="s">
        <v>20</v>
      </c>
      <c r="D8" s="3" t="s">
        <v>84</v>
      </c>
      <c r="E8" s="3" t="s">
        <v>346</v>
      </c>
      <c r="F8" s="4" t="b">
        <f aca="false">TRUE()</f>
        <v>1</v>
      </c>
      <c r="G8" s="3" t="n">
        <f aca="false">COUNTIF(Students!$F$2:$F$61,A8)</f>
        <v>6</v>
      </c>
      <c r="H8" s="10" t="n">
        <f aca="false">IFERROR(AVERAGEIF(Students!$F$2:$F$61,A8,Students!$M$2:$M$61),0)</f>
        <v>27</v>
      </c>
    </row>
    <row r="9" customFormat="false" ht="15" hidden="false" customHeight="false" outlineLevel="0" collapsed="false">
      <c r="A9" s="2" t="s">
        <v>285</v>
      </c>
      <c r="B9" s="2" t="s">
        <v>286</v>
      </c>
      <c r="C9" s="3" t="s">
        <v>287</v>
      </c>
      <c r="D9" s="3" t="s">
        <v>288</v>
      </c>
      <c r="E9" s="3" t="s">
        <v>347</v>
      </c>
      <c r="F9" s="4" t="b">
        <f aca="false">TRUE()</f>
        <v>1</v>
      </c>
      <c r="G9" s="3" t="n">
        <f aca="false">COUNTIF(Students!$F$2:$F$61,A9)</f>
        <v>3</v>
      </c>
      <c r="H9" s="10" t="n">
        <f aca="false">IFERROR(AVERAGEIF(Students!$F$2:$F$61,A9,Students!$M$2:$M$61),0)</f>
        <v>13</v>
      </c>
    </row>
    <row r="10" customFormat="false" ht="15" hidden="false" customHeight="false" outlineLevel="0" collapsed="false">
      <c r="A10" s="2" t="s">
        <v>304</v>
      </c>
      <c r="B10" s="2" t="s">
        <v>305</v>
      </c>
      <c r="C10" s="3" t="s">
        <v>287</v>
      </c>
      <c r="D10" s="3" t="s">
        <v>304</v>
      </c>
      <c r="E10" s="3" t="s">
        <v>348</v>
      </c>
      <c r="F10" s="4" t="b">
        <f aca="false">TRUE()</f>
        <v>1</v>
      </c>
      <c r="G10" s="3" t="n">
        <f aca="false">COUNTIF(Students!$F$2:$F$61,A10)</f>
        <v>4</v>
      </c>
      <c r="H10" s="10" t="n">
        <f aca="false">IFERROR(AVERAGEIF(Students!$F$2:$F$61,A10,Students!$M$2:$M$61),0)</f>
        <v>13.75</v>
      </c>
    </row>
    <row r="11" customFormat="false" ht="15" hidden="false" customHeight="false" outlineLevel="0" collapsed="false">
      <c r="A11" s="2" t="s">
        <v>326</v>
      </c>
      <c r="B11" s="2" t="s">
        <v>327</v>
      </c>
      <c r="C11" s="3" t="s">
        <v>287</v>
      </c>
      <c r="D11" s="3" t="s">
        <v>326</v>
      </c>
      <c r="E11" s="3" t="s">
        <v>349</v>
      </c>
      <c r="F11" s="4" t="b">
        <f aca="false">TRUE()</f>
        <v>1</v>
      </c>
      <c r="G11" s="3" t="n">
        <f aca="false">COUNTIF(Students!$F$2:$F$61,A11)</f>
        <v>3</v>
      </c>
      <c r="H11" s="10" t="n">
        <f aca="false">IFERROR(AVERAGEIF(Students!$F$2:$F$61,A11,Students!$M$2:$M$61),0)</f>
        <v>15</v>
      </c>
    </row>
    <row r="12" customFormat="false" ht="15" hidden="false" customHeight="false" outlineLevel="0" collapsed="false">
      <c r="A12" s="11" t="s">
        <v>350</v>
      </c>
      <c r="B12" s="11"/>
      <c r="C12" s="12"/>
      <c r="D12" s="12"/>
      <c r="E12" s="12"/>
      <c r="F12" s="12"/>
      <c r="G12" s="12" t="n">
        <f aca="false">SUM(G2:G11)</f>
        <v>60</v>
      </c>
      <c r="H12" s="13" t="n">
        <f aca="false">AVERAGE(Students!$M$2:$M$61)</f>
        <v>35.8166666666667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4" t="s">
        <v>351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352</v>
      </c>
    </row>
    <row r="4" customFormat="false" ht="15" hidden="false" customHeight="false" outlineLevel="0" collapsed="false">
      <c r="A4" s="15" t="s">
        <v>353</v>
      </c>
    </row>
    <row r="5" customFormat="false" ht="23.85" hidden="false" customHeight="false" outlineLevel="0" collapsed="false">
      <c r="A5" s="15" t="s">
        <v>354</v>
      </c>
    </row>
    <row r="6" customFormat="false" ht="23.85" hidden="false" customHeight="false" outlineLevel="0" collapsed="false">
      <c r="A6" s="15" t="s">
        <v>355</v>
      </c>
    </row>
    <row r="7" customFormat="false" ht="15" hidden="false" customHeight="false" outlineLevel="0" collapsed="false">
      <c r="A7" s="15" t="s">
        <v>356</v>
      </c>
    </row>
    <row r="8" customFormat="false" ht="15" hidden="false" customHeight="false" outlineLevel="0" collapsed="false">
      <c r="A8" s="15" t="s">
        <v>357</v>
      </c>
    </row>
    <row r="9" customFormat="false" ht="15" hidden="false" customHeight="false" outlineLevel="0" collapsed="false">
      <c r="A9" s="15" t="s">
        <v>358</v>
      </c>
    </row>
    <row r="10" customFormat="false" ht="15" hidden="false" customHeight="false" outlineLevel="0" collapsed="false">
      <c r="A10" s="15" t="s">
        <v>359</v>
      </c>
    </row>
    <row r="11" customFormat="false" ht="15" hidden="false" customHeight="false" outlineLevel="0" collapsed="false">
      <c r="A11" s="15" t="s">
        <v>360</v>
      </c>
    </row>
    <row r="12" customFormat="false" ht="15" hidden="false" customHeight="false" outlineLevel="0" collapsed="false">
      <c r="A12" s="15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2026-10-12T09:46:05Z</dcterms:created>
  <dc:creator>openpyxl</dc:creator>
  <dc:description/>
  <dc:language>en-US</dc:language>
  <cp:lastModifiedBy/>
  <dcterms:modified xsi:type="dcterms:W3CDTF">2026-10-12T09:46:05Z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